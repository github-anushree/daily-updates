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6B75A68F-DD96-47E8-BD82-446B94B666B8}" xr6:coauthVersionLast="47" xr6:coauthVersionMax="47" xr10:uidLastSave="{00000000-0000-0000-0000-000000000000}"/>
  <bookViews>
    <workbookView xWindow="-108" yWindow="-108" windowWidth="23256" windowHeight="12456" xr2:uid="{22E66461-FF0C-4408-8FAF-631233168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M19" i="1"/>
  <c r="M17" i="1"/>
  <c r="L17" i="1"/>
  <c r="K17" i="1"/>
  <c r="M4" i="1" a="1"/>
  <c r="M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<sst xmlns="http://schemas.openxmlformats.org/spreadsheetml/2006/main" count="45" uniqueCount="34">
  <si>
    <t>Name</t>
  </si>
  <si>
    <t>SQL</t>
  </si>
  <si>
    <t>Python</t>
  </si>
  <si>
    <t>Stat</t>
  </si>
  <si>
    <t>Power Bi</t>
  </si>
  <si>
    <t>Excel</t>
  </si>
  <si>
    <t>Arvind</t>
  </si>
  <si>
    <t>Om</t>
  </si>
  <si>
    <t>Sneha</t>
  </si>
  <si>
    <t>Sahil</t>
  </si>
  <si>
    <t>Kiran</t>
  </si>
  <si>
    <t>Jayesh</t>
  </si>
  <si>
    <t>Bhagyashree</t>
  </si>
  <si>
    <t>Suraj</t>
  </si>
  <si>
    <t>Sunil</t>
  </si>
  <si>
    <t>Sakshi</t>
  </si>
  <si>
    <t>Prem</t>
  </si>
  <si>
    <t xml:space="preserve">Tool </t>
  </si>
  <si>
    <t>prem</t>
  </si>
  <si>
    <t>Marks</t>
  </si>
  <si>
    <t>Sub 1 =</t>
  </si>
  <si>
    <t>Sub 2 =</t>
  </si>
  <si>
    <t>Sub 3 =</t>
  </si>
  <si>
    <t>Sub 4 =</t>
  </si>
  <si>
    <t>Sub 5 =</t>
  </si>
  <si>
    <t xml:space="preserve">Name </t>
  </si>
  <si>
    <t>Subject</t>
  </si>
  <si>
    <t>SNO</t>
  </si>
  <si>
    <t>Index</t>
  </si>
  <si>
    <t xml:space="preserve">What is the Name in SNO. 5 </t>
  </si>
  <si>
    <t>Vlookup&amp;Match</t>
  </si>
  <si>
    <t>index&amp;match</t>
  </si>
  <si>
    <t xml:space="preserve">here we manually write colum num = 6 at end, </t>
  </si>
  <si>
    <t>here we gonna find it through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</si>
</sst>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422031</xdr:colOff>
      <xdr:row>16</xdr:row>
      <xdr:rowOff>46893</xdr:rowOff>
    </xdr:from>
    <xdr:to>
      <xdr:col>3</xdr:col>
      <xdr:colOff>527539</xdr:colOff>
      <xdr:row>16</xdr:row>
      <xdr:rowOff>158262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CD10BD3-3AC3-4567-9154-421FFB0C6966}"/>
            </a:ext>
          </a:extLst>
        </xdr:cNvPr>
        <xdr:cNvSpPr/>
      </xdr:nvSpPr>
      <xdr:spPr>
        <a:xfrm>
          <a:off x="2807091" y="6996333"/>
          <a:ext cx="105508" cy="11136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85BA-7A6E-4CBA-B256-4ED0A4F7C54D}">
  <dimension ref="A1:N22"/>
  <sheetViews>
    <sheetView tabSelected="1" workbookViewId="0">
      <selection activeCell="D23" sqref="D23"/>
    </sheetView>
  </sheetViews>
  <sheetFormatPr defaultRowHeight="14.4" x14ac:dyDescent="0.3"/>
  <cols>
    <col min="2" max="2" width="12.109375" customWidth="1"/>
    <col min="7" max="7" width="5.21875" bestFit="1" customWidth="1"/>
    <col min="11" max="11" width="18.5546875" customWidth="1"/>
  </cols>
  <sheetData>
    <row r="1" spans="1:13" x14ac:dyDescent="0.3">
      <c r="A1" s="12" t="s">
        <v>27</v>
      </c>
      <c r="B1" s="10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x14ac:dyDescent="0.3">
      <c r="A2" s="12">
        <v>1</v>
      </c>
      <c r="B2" s="11" t="s">
        <v>6</v>
      </c>
      <c r="C2" s="2">
        <v>63</v>
      </c>
      <c r="D2" s="2">
        <v>63</v>
      </c>
      <c r="E2" s="2">
        <v>64</v>
      </c>
      <c r="F2" s="2">
        <v>98</v>
      </c>
      <c r="G2" s="2">
        <v>72</v>
      </c>
      <c r="L2" s="7" t="s">
        <v>28</v>
      </c>
    </row>
    <row r="3" spans="1:13" x14ac:dyDescent="0.3">
      <c r="A3" s="12">
        <v>2</v>
      </c>
      <c r="B3" s="10" t="s">
        <v>7</v>
      </c>
      <c r="C3" s="2">
        <v>57</v>
      </c>
      <c r="D3" s="2">
        <v>61</v>
      </c>
      <c r="E3" s="2">
        <v>49</v>
      </c>
      <c r="F3" s="2">
        <v>71</v>
      </c>
      <c r="G3" s="2">
        <v>74</v>
      </c>
      <c r="L3">
        <v>1</v>
      </c>
      <c r="M3" t="s">
        <v>29</v>
      </c>
    </row>
    <row r="4" spans="1:13" x14ac:dyDescent="0.3">
      <c r="A4" s="12">
        <v>3</v>
      </c>
      <c r="B4" s="11" t="s">
        <v>8</v>
      </c>
      <c r="C4" s="2">
        <v>60</v>
      </c>
      <c r="D4" s="2">
        <v>76</v>
      </c>
      <c r="E4" s="2">
        <v>49</v>
      </c>
      <c r="F4" s="2">
        <v>65</v>
      </c>
      <c r="G4" s="2">
        <v>50</v>
      </c>
      <c r="M4" t="str" cm="1">
        <f t="array" ref="M4">INDEX(B2:B12,"5")</f>
        <v>Kiran</v>
      </c>
    </row>
    <row r="5" spans="1:13" x14ac:dyDescent="0.3">
      <c r="A5" s="12">
        <v>4</v>
      </c>
      <c r="B5" s="10" t="s">
        <v>9</v>
      </c>
      <c r="C5" s="2">
        <v>59</v>
      </c>
      <c r="D5" s="2">
        <v>80</v>
      </c>
      <c r="E5" s="2">
        <v>85</v>
      </c>
      <c r="F5" s="2">
        <v>92</v>
      </c>
      <c r="G5" s="2">
        <v>83</v>
      </c>
    </row>
    <row r="6" spans="1:13" x14ac:dyDescent="0.3">
      <c r="A6" s="12">
        <v>5</v>
      </c>
      <c r="B6" s="11" t="s">
        <v>10</v>
      </c>
      <c r="C6" s="2">
        <v>87</v>
      </c>
      <c r="D6" s="2">
        <v>87</v>
      </c>
      <c r="E6" s="2">
        <v>50</v>
      </c>
      <c r="F6" s="2">
        <v>44</v>
      </c>
      <c r="G6" s="2">
        <v>65</v>
      </c>
    </row>
    <row r="7" spans="1:13" x14ac:dyDescent="0.3">
      <c r="A7" s="12">
        <v>6</v>
      </c>
      <c r="B7" s="10" t="s">
        <v>11</v>
      </c>
      <c r="C7" s="2">
        <v>82</v>
      </c>
      <c r="D7" s="2">
        <v>65</v>
      </c>
      <c r="E7" s="2">
        <v>58</v>
      </c>
      <c r="F7" s="2">
        <v>79</v>
      </c>
      <c r="G7" s="2">
        <v>45</v>
      </c>
    </row>
    <row r="8" spans="1:13" x14ac:dyDescent="0.3">
      <c r="A8" s="12">
        <v>7</v>
      </c>
      <c r="B8" s="11" t="s">
        <v>12</v>
      </c>
      <c r="C8" s="2">
        <v>82</v>
      </c>
      <c r="D8" s="2">
        <v>46</v>
      </c>
      <c r="E8" s="2">
        <v>69</v>
      </c>
      <c r="F8" s="2">
        <v>77</v>
      </c>
      <c r="G8" s="2">
        <v>46</v>
      </c>
    </row>
    <row r="9" spans="1:13" x14ac:dyDescent="0.3">
      <c r="A9" s="12">
        <v>8</v>
      </c>
      <c r="B9" s="10" t="s">
        <v>13</v>
      </c>
      <c r="C9" s="2">
        <v>59</v>
      </c>
      <c r="D9" s="2">
        <v>84</v>
      </c>
      <c r="E9" s="2">
        <v>69</v>
      </c>
      <c r="F9" s="2">
        <v>67</v>
      </c>
      <c r="G9" s="2">
        <v>93</v>
      </c>
    </row>
    <row r="10" spans="1:13" x14ac:dyDescent="0.3">
      <c r="A10" s="12">
        <v>9</v>
      </c>
      <c r="B10" s="11" t="s">
        <v>14</v>
      </c>
      <c r="C10" s="2">
        <v>80</v>
      </c>
      <c r="D10" s="2">
        <v>80</v>
      </c>
      <c r="E10" s="2">
        <v>37</v>
      </c>
      <c r="F10" s="2">
        <v>93</v>
      </c>
      <c r="G10" s="2">
        <v>87</v>
      </c>
    </row>
    <row r="11" spans="1:13" x14ac:dyDescent="0.3">
      <c r="A11" s="12">
        <v>10</v>
      </c>
      <c r="B11" s="10" t="s">
        <v>15</v>
      </c>
      <c r="C11" s="2">
        <v>69</v>
      </c>
      <c r="D11" s="2">
        <v>62</v>
      </c>
      <c r="E11" s="2">
        <v>37</v>
      </c>
      <c r="F11" s="2">
        <v>42</v>
      </c>
      <c r="G11" s="2">
        <v>89</v>
      </c>
    </row>
    <row r="12" spans="1:13" x14ac:dyDescent="0.3">
      <c r="A12" s="12">
        <v>11</v>
      </c>
      <c r="B12" s="10" t="s">
        <v>16</v>
      </c>
      <c r="C12" s="2">
        <v>71</v>
      </c>
      <c r="D12" s="2">
        <v>49</v>
      </c>
      <c r="E12" s="2">
        <v>60</v>
      </c>
      <c r="F12" s="2">
        <v>47</v>
      </c>
      <c r="G12" s="2">
        <v>71</v>
      </c>
    </row>
    <row r="14" spans="1:13" x14ac:dyDescent="0.3">
      <c r="C14" s="6" t="s">
        <v>17</v>
      </c>
      <c r="D14" s="6"/>
      <c r="E14" s="6"/>
    </row>
    <row r="15" spans="1:13" x14ac:dyDescent="0.3">
      <c r="C15" s="6"/>
      <c r="D15" s="6"/>
      <c r="E15" s="6"/>
    </row>
    <row r="16" spans="1:13" x14ac:dyDescent="0.3">
      <c r="I16" s="9" t="s">
        <v>25</v>
      </c>
      <c r="J16" s="1" t="s">
        <v>15</v>
      </c>
      <c r="K16" s="8" t="s">
        <v>19</v>
      </c>
      <c r="L16" s="8" t="s">
        <v>19</v>
      </c>
    </row>
    <row r="17" spans="2:14" x14ac:dyDescent="0.3">
      <c r="B17" s="3" t="s">
        <v>0</v>
      </c>
      <c r="C17" s="4" t="s">
        <v>18</v>
      </c>
      <c r="D17" s="4" t="s">
        <v>19</v>
      </c>
      <c r="I17" s="9" t="s">
        <v>26</v>
      </c>
      <c r="J17" s="1" t="s">
        <v>5</v>
      </c>
      <c r="K17" s="4">
        <f>VLOOKUP(J16,B1:G12,MATCH(J17,B1:G1,0),0)</f>
        <v>89</v>
      </c>
      <c r="L17">
        <f>INDEX(B1:G12,11,6)</f>
        <v>89</v>
      </c>
      <c r="M17">
        <f>INDEX(B1:G12,MATCH(J16,B1:B12,0),6)</f>
        <v>89</v>
      </c>
      <c r="N17" t="s">
        <v>32</v>
      </c>
    </row>
    <row r="18" spans="2:14" x14ac:dyDescent="0.3">
      <c r="B18" s="3" t="s">
        <v>20</v>
      </c>
      <c r="C18" s="1" t="s">
        <v>1</v>
      </c>
      <c r="D18" s="5">
        <f>INDEX(B1:G12,MATCH(C17,B1:B12,0),MATCH("SQL",B1:G1,0))</f>
        <v>71</v>
      </c>
      <c r="K18" t="s">
        <v>30</v>
      </c>
      <c r="L18" t="s">
        <v>28</v>
      </c>
      <c r="M18" t="s">
        <v>31</v>
      </c>
    </row>
    <row r="19" spans="2:14" x14ac:dyDescent="0.3">
      <c r="B19" s="3" t="s">
        <v>21</v>
      </c>
      <c r="C19" s="1" t="s">
        <v>2</v>
      </c>
      <c r="D19" s="5">
        <f>INDEX(B1:G12,MATCH(C17,B1:B12,0),MATCH("Python",B1:G1,0))</f>
        <v>49</v>
      </c>
      <c r="M19">
        <f>INDEX(B1:G12,MATCH(J16,B1:B12,0),MATCH(J17,B1:G1,0))</f>
        <v>89</v>
      </c>
      <c r="N19" t="s">
        <v>33</v>
      </c>
    </row>
    <row r="20" spans="2:14" x14ac:dyDescent="0.3">
      <c r="B20" s="3" t="s">
        <v>22</v>
      </c>
      <c r="C20" s="1" t="s">
        <v>3</v>
      </c>
      <c r="D20" s="5">
        <f>INDEX(B1:G12,MATCH(C17,B1:B12,0),MATCH("Stat",B1:G1,0))</f>
        <v>60</v>
      </c>
    </row>
    <row r="21" spans="2:14" x14ac:dyDescent="0.3">
      <c r="B21" s="3" t="s">
        <v>23</v>
      </c>
      <c r="C21" s="1" t="s">
        <v>4</v>
      </c>
      <c r="D21" s="5">
        <f>INDEX(B1:G12,MATCH(C17,B1:B12,0),MATCH("Power Bi",B1:G1,0))</f>
        <v>47</v>
      </c>
    </row>
    <row r="22" spans="2:14" x14ac:dyDescent="0.3">
      <c r="B22" s="3" t="s">
        <v>24</v>
      </c>
      <c r="C22" s="1" t="s">
        <v>5</v>
      </c>
      <c r="D22" s="5">
        <f>INDEX(B1:G12,MATCH(C17,B1:B12,0),MATCH("Excel",B1:G1,0))</f>
        <v>71</v>
      </c>
    </row>
  </sheetData>
  <mergeCells count="1">
    <mergeCell ref="C14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2025-01-08T15:13:42Z</dcterms:created>
  <dcterms:modified xsi:type="dcterms:W3CDTF">2025-09-26T17:05:53Z</dcterms:modified>
</cp:coreProperties>
</file>