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7359F89F-8A6E-40DE-8DFB-8EF2EEAC1CED}" xr6:coauthVersionLast="47" xr6:coauthVersionMax="47" xr10:uidLastSave="{00000000-0000-0000-0000-000000000000}"/>
  <bookViews>
    <workbookView xWindow="-108" yWindow="-108" windowWidth="23256" windowHeight="12456" activeTab="4" xr2:uid="{36E1DAE4-3135-4FDC-9DD0-A3FD0576339A}"/>
  </bookViews>
  <sheets>
    <sheet name="Data" sheetId="1" r:id="rId1"/>
    <sheet name="Case Study" sheetId="2" r:id="rId2"/>
    <sheet name="CasestudyQues" sheetId="5" r:id="rId3"/>
    <sheet name="Q1-Q6" sheetId="3" r:id="rId4"/>
    <sheet name="Q7-Q12" sheetId="4" r:id="rId5"/>
  </sheets>
  <calcPr calcId="191029"/>
  <pivotCaches>
    <pivotCache cacheId="2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</calcChain>
</file>

<file path=xl/sharedStrings.xml><?xml version="1.0" encoding="utf-8"?>
<sst xmlns="http://schemas.openxmlformats.org/spreadsheetml/2006/main" count="667" uniqueCount="155">
  <si>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</si>
  <si>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</si>
  <si>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</si>
  <si>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</si>
  <si>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</si>
  <si>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</si>
  <si>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</si>
  <si>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</si>
  <si>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</si>
  <si>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</si>
  <si>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</si>
  <si>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</si>
  <si>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</si>
  <si>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</si>
  <si>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</si>
  <si>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</si>
  <si>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</si>
  <si>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</si>
  <si>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</si>
  <si>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</si>
  <si>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</si>
  <si>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</si>
  <si>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</si>
  <si>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</si>
  <si>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</si>
  <si>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</si>
  <si>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</si>
  <si>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</si>
  <si>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</si>
  <si>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</si>
  <si>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</si>
  <si>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</si>
  <si>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</si>
  <si>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</si>
  <si>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</si>
  <si>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</si>
  <si>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</si>
  <si>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</si>
  <si>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</si>
  <si>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</si>
  <si>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</si>
  <si>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</si>
  <si>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</si>
  <si>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</si>
  <si>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</si>
  <si>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</si>
  <si>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</si>
  <si>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</si>
  <si>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</si>
  <si>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</si>
  <si>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</si>
  <si>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</si>
  <si>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</si>
  <si>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</si>
  <si>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</si>
  <si>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</si>
  <si>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</si>
  <si>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</si>
  <si>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</si>
  <si>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</si>
  <si>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</si>
  <si>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</si>
  <si>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</si>
  <si>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</si>
  <si>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</si>
  <si>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</si>
  <si>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</si>
  <si>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</si>
  <si>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</si>
  <si>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</si>
  <si>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</si>
  <si>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</si>
  <si>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</si>
  <si>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</si>
  <si>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</si>
  <si>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</si>
  <si>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</si>
  <si>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</si>
  <si>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</si>
  <si>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</si>
  <si>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</si>
  <si>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</si>
  <si>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</si>
  <si>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</si>
  <si>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</si>
  <si>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</si>
  <si>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</si>
  <si>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</si>
  <si>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</si>
  <si>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</si>
  <si>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</si>
  <si>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</si>
  <si>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</si>
  <si>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</si>
  <si>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</si>
  <si>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</si>
  <si>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</si>
  <si>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</si>
  <si>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</si>
  <si>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</si>
  <si>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</si>
  <si>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</si>
  <si>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</si>
  <si>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</si>
  <si>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</si>
  <si>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</si>
  <si>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</si>
  <si>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</si>
  <si>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</si>
  <si>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</si>
  <si>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</si>
  <si>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</si>
  <si>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</si>
  <si>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</si>
  <si>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</si>
  <si>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</si>
  <si>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</si>
  <si>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</si>
  <si>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</si>
  <si>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</si>
  <si>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</si>
  <si>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</si>
  <si>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Total Sales</t>
  </si>
  <si>
    <t>Total Orders?</t>
  </si>
  <si>
    <t>Product wise total orders?</t>
  </si>
  <si>
    <t>What is the Count of Orders in South Regions?</t>
  </si>
  <si>
    <t>What is total highest sales by product?</t>
  </si>
  <si>
    <t>Total sales by products?</t>
  </si>
  <si>
    <t>Who made the max sales?</t>
  </si>
  <si>
    <t>Who made the min sales?</t>
  </si>
  <si>
    <t>Avg Sales by Product?</t>
  </si>
  <si>
    <t>Product wise max units sold?</t>
  </si>
  <si>
    <t>What is the total sales by product in each region ?</t>
  </si>
  <si>
    <t>to convert the cells values into table --&gt; ctrl + t</t>
  </si>
  <si>
    <t>Row Labels</t>
  </si>
  <si>
    <t>Grand Total</t>
  </si>
  <si>
    <t>Count of Orders</t>
  </si>
  <si>
    <t>Count of orders</t>
  </si>
  <si>
    <t>Sum of Total Sales</t>
  </si>
  <si>
    <t>Total Highest Sales by Product</t>
  </si>
  <si>
    <t>Region wise Total sales.</t>
  </si>
  <si>
    <t>Max of Total Sales</t>
  </si>
  <si>
    <t>Min of Total Sales</t>
  </si>
  <si>
    <t>Average of Total Sales</t>
  </si>
  <si>
    <t>Sum of Units</t>
  </si>
  <si>
    <t>Max of Units sold</t>
  </si>
  <si>
    <t>Average sale of Appliances</t>
  </si>
  <si>
    <t>Highest Cost COGS</t>
  </si>
  <si>
    <t>Count of Products</t>
  </si>
  <si>
    <t>Average of Units</t>
  </si>
  <si>
    <t>(All)</t>
  </si>
  <si>
    <t>Column Labels</t>
  </si>
  <si>
    <t>Average of COGS</t>
  </si>
  <si>
    <t>yaha regions --&gt; ko legends bolege, legends means category ko subcategory me convert krna.</t>
  </si>
  <si>
    <t>electronics ka south me kitna total sales hai?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</si>
</sst>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8.582216666669" createdVersion="8" refreshedVersion="8" minRefreshableVersion="3" recordCount="123" xr:uid="{AF1EE316-9A41-417A-883C-6939BAD87E2C}">
  <cacheSource type="worksheet">
    <worksheetSource name="sales"/>
  </cacheSource>
  <cacheFields count="8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/>
    </cacheField>
    <cacheField name="Total Sales" numFmtId="0">
      <sharedItems containsSemiMixedTypes="0" containsString="0" containsNumber="1" containsInteger="1" minValue="945" maxValue="27328"/>
    </cacheField>
    <cacheField name="COGS" numFmtId="0">
      <sharedItems containsSemiMixedTypes="0" containsString="0" containsNumber="1" containsInteger="1" minValue="75" maxValue="610" count="87">
        <n v="321"/>
        <n v="456"/>
        <n v="398"/>
        <n v="210"/>
        <n v="412"/>
        <n v="78"/>
        <n v="286"/>
        <n v="215"/>
        <n v="114"/>
        <n v="167"/>
        <n v="512"/>
        <n v="556"/>
        <n v="458"/>
        <n v="76"/>
        <n v="224"/>
        <n v="319"/>
        <n v="130"/>
        <n v="190"/>
        <n v="279"/>
        <n v="137"/>
        <n v="204"/>
        <n v="83"/>
        <n v="421"/>
        <n v="263"/>
        <n v="175"/>
        <n v="107"/>
        <n v="339"/>
        <n v="487"/>
        <n v="162"/>
        <n v="594"/>
        <n v="129"/>
        <n v="156"/>
        <n v="535"/>
        <n v="468"/>
        <n v="365"/>
        <n v="75"/>
        <n v="197"/>
        <n v="305"/>
        <n v="117"/>
        <n v="413"/>
        <n v="196"/>
        <n v="466"/>
        <n v="331"/>
        <n v="479"/>
        <n v="399"/>
        <n v="603"/>
        <n v="441"/>
        <n v="527"/>
        <n v="610"/>
        <n v="465"/>
        <n v="100"/>
        <n v="394"/>
        <n v="179"/>
        <n v="136"/>
        <n v="480"/>
        <n v="475"/>
        <n v="88"/>
        <n v="426"/>
        <n v="406"/>
        <n v="142"/>
        <n v="217"/>
        <n v="436"/>
        <n v="602"/>
        <n v="434"/>
        <n v="121"/>
        <n v="292"/>
        <n v="113"/>
        <n v="464"/>
        <n v="176"/>
        <n v="285"/>
        <n v="223"/>
        <n v="163"/>
        <n v="199"/>
        <n v="385"/>
        <n v="90"/>
        <n v="209"/>
        <n v="276"/>
        <n v="145"/>
        <n v="488"/>
        <n v="95"/>
        <n v="146"/>
        <n v="454"/>
        <n v="298"/>
        <n v="118"/>
        <n v="133"/>
        <n v="203"/>
        <n v="7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n v="523"/>
    <n v="7845"/>
    <x v="0"/>
  </r>
  <r>
    <n v="2"/>
    <x v="0"/>
    <x v="0"/>
    <x v="1"/>
    <x v="1"/>
    <n v="792"/>
    <n v="15840"/>
    <x v="1"/>
  </r>
  <r>
    <n v="3"/>
    <x v="0"/>
    <x v="0"/>
    <x v="2"/>
    <x v="2"/>
    <n v="654"/>
    <n v="11772"/>
    <x v="2"/>
  </r>
  <r>
    <n v="4"/>
    <x v="0"/>
    <x v="0"/>
    <x v="3"/>
    <x v="3"/>
    <n v="345"/>
    <n v="4830"/>
    <x v="3"/>
  </r>
  <r>
    <n v="5"/>
    <x v="0"/>
    <x v="0"/>
    <x v="4"/>
    <x v="4"/>
    <n v="678"/>
    <n v="10848"/>
    <x v="4"/>
  </r>
  <r>
    <n v="6"/>
    <x v="1"/>
    <x v="1"/>
    <x v="5"/>
    <x v="5"/>
    <n v="123"/>
    <n v="2706"/>
    <x v="5"/>
  </r>
  <r>
    <n v="7"/>
    <x v="1"/>
    <x v="1"/>
    <x v="6"/>
    <x v="6"/>
    <n v="489"/>
    <n v="9291"/>
    <x v="6"/>
  </r>
  <r>
    <n v="8"/>
    <x v="1"/>
    <x v="1"/>
    <x v="7"/>
    <x v="7"/>
    <n v="354"/>
    <n v="4248"/>
    <x v="7"/>
  </r>
  <r>
    <n v="9"/>
    <x v="1"/>
    <x v="1"/>
    <x v="8"/>
    <x v="8"/>
    <n v="195"/>
    <n v="1755"/>
    <x v="8"/>
  </r>
  <r>
    <n v="10"/>
    <x v="2"/>
    <x v="2"/>
    <x v="9"/>
    <x v="9"/>
    <n v="274"/>
    <n v="3014"/>
    <x v="9"/>
  </r>
  <r>
    <n v="11"/>
    <x v="2"/>
    <x v="2"/>
    <x v="10"/>
    <x v="10"/>
    <n v="837"/>
    <n v="21762"/>
    <x v="10"/>
  </r>
  <r>
    <n v="12"/>
    <x v="2"/>
    <x v="2"/>
    <x v="11"/>
    <x v="11"/>
    <n v="911"/>
    <n v="25508"/>
    <x v="11"/>
  </r>
  <r>
    <n v="13"/>
    <x v="2"/>
    <x v="2"/>
    <x v="12"/>
    <x v="12"/>
    <n v="653"/>
    <n v="13713"/>
    <x v="2"/>
  </r>
  <r>
    <n v="14"/>
    <x v="3"/>
    <x v="3"/>
    <x v="13"/>
    <x v="13"/>
    <n v="789"/>
    <n v="13413"/>
    <x v="12"/>
  </r>
  <r>
    <n v="15"/>
    <x v="3"/>
    <x v="3"/>
    <x v="14"/>
    <x v="14"/>
    <n v="125"/>
    <n v="1000"/>
    <x v="13"/>
  </r>
  <r>
    <n v="16"/>
    <x v="3"/>
    <x v="3"/>
    <x v="15"/>
    <x v="3"/>
    <n v="367"/>
    <n v="5138"/>
    <x v="14"/>
  </r>
  <r>
    <n v="17"/>
    <x v="3"/>
    <x v="3"/>
    <x v="16"/>
    <x v="15"/>
    <n v="524"/>
    <n v="12052"/>
    <x v="15"/>
  </r>
  <r>
    <n v="18"/>
    <x v="4"/>
    <x v="0"/>
    <x v="17"/>
    <x v="16"/>
    <n v="213"/>
    <n v="2769"/>
    <x v="16"/>
  </r>
  <r>
    <n v="19"/>
    <x v="4"/>
    <x v="0"/>
    <x v="18"/>
    <x v="0"/>
    <n v="789"/>
    <n v="11835"/>
    <x v="12"/>
  </r>
  <r>
    <n v="20"/>
    <x v="4"/>
    <x v="0"/>
    <x v="19"/>
    <x v="12"/>
    <n v="312"/>
    <n v="6552"/>
    <x v="17"/>
  </r>
  <r>
    <n v="21"/>
    <x v="4"/>
    <x v="1"/>
    <x v="20"/>
    <x v="6"/>
    <n v="456"/>
    <n v="8664"/>
    <x v="18"/>
  </r>
  <r>
    <n v="22"/>
    <x v="5"/>
    <x v="1"/>
    <x v="21"/>
    <x v="17"/>
    <n v="224"/>
    <n v="2240"/>
    <x v="19"/>
  </r>
  <r>
    <n v="23"/>
    <x v="5"/>
    <x v="3"/>
    <x v="22"/>
    <x v="9"/>
    <n v="334"/>
    <n v="3674"/>
    <x v="20"/>
  </r>
  <r>
    <n v="24"/>
    <x v="5"/>
    <x v="3"/>
    <x v="23"/>
    <x v="18"/>
    <n v="135"/>
    <n v="945"/>
    <x v="21"/>
  </r>
  <r>
    <n v="25"/>
    <x v="6"/>
    <x v="2"/>
    <x v="24"/>
    <x v="0"/>
    <n v="689"/>
    <n v="10335"/>
    <x v="22"/>
  </r>
  <r>
    <n v="26"/>
    <x v="6"/>
    <x v="2"/>
    <x v="25"/>
    <x v="19"/>
    <n v="432"/>
    <n v="10800"/>
    <x v="23"/>
  </r>
  <r>
    <n v="27"/>
    <x v="6"/>
    <x v="2"/>
    <x v="26"/>
    <x v="9"/>
    <n v="287"/>
    <n v="3157"/>
    <x v="24"/>
  </r>
  <r>
    <n v="28"/>
    <x v="7"/>
    <x v="3"/>
    <x v="27"/>
    <x v="14"/>
    <n v="176"/>
    <n v="1408"/>
    <x v="25"/>
  </r>
  <r>
    <n v="29"/>
    <x v="7"/>
    <x v="2"/>
    <x v="28"/>
    <x v="16"/>
    <n v="555"/>
    <n v="7215"/>
    <x v="26"/>
  </r>
  <r>
    <n v="30"/>
    <x v="7"/>
    <x v="2"/>
    <x v="29"/>
    <x v="0"/>
    <n v="432"/>
    <n v="6480"/>
    <x v="23"/>
  </r>
  <r>
    <n v="31"/>
    <x v="8"/>
    <x v="0"/>
    <x v="30"/>
    <x v="1"/>
    <n v="798"/>
    <n v="15960"/>
    <x v="27"/>
  </r>
  <r>
    <n v="32"/>
    <x v="8"/>
    <x v="0"/>
    <x v="31"/>
    <x v="0"/>
    <n v="265"/>
    <n v="3975"/>
    <x v="28"/>
  </r>
  <r>
    <n v="33"/>
    <x v="8"/>
    <x v="0"/>
    <x v="32"/>
    <x v="11"/>
    <n v="976"/>
    <n v="27328"/>
    <x v="29"/>
  </r>
  <r>
    <n v="34"/>
    <x v="8"/>
    <x v="0"/>
    <x v="33"/>
    <x v="17"/>
    <n v="211"/>
    <n v="2110"/>
    <x v="30"/>
  </r>
  <r>
    <n v="35"/>
    <x v="9"/>
    <x v="3"/>
    <x v="34"/>
    <x v="7"/>
    <n v="256"/>
    <n v="3072"/>
    <x v="31"/>
  </r>
  <r>
    <n v="36"/>
    <x v="9"/>
    <x v="2"/>
    <x v="35"/>
    <x v="5"/>
    <n v="879"/>
    <n v="19338"/>
    <x v="32"/>
  </r>
  <r>
    <n v="37"/>
    <x v="9"/>
    <x v="3"/>
    <x v="36"/>
    <x v="6"/>
    <n v="765"/>
    <n v="14535"/>
    <x v="33"/>
  </r>
  <r>
    <n v="38"/>
    <x v="9"/>
    <x v="2"/>
    <x v="37"/>
    <x v="13"/>
    <n v="599"/>
    <n v="10183"/>
    <x v="34"/>
  </r>
  <r>
    <n v="39"/>
    <x v="10"/>
    <x v="1"/>
    <x v="38"/>
    <x v="2"/>
    <n v="456"/>
    <n v="8208"/>
    <x v="18"/>
  </r>
  <r>
    <n v="40"/>
    <x v="10"/>
    <x v="3"/>
    <x v="39"/>
    <x v="8"/>
    <n v="123"/>
    <n v="1107"/>
    <x v="35"/>
  </r>
  <r>
    <n v="41"/>
    <x v="10"/>
    <x v="1"/>
    <x v="40"/>
    <x v="7"/>
    <n v="213"/>
    <n v="2556"/>
    <x v="16"/>
  </r>
  <r>
    <n v="42"/>
    <x v="10"/>
    <x v="3"/>
    <x v="41"/>
    <x v="7"/>
    <n v="322"/>
    <n v="3864"/>
    <x v="36"/>
  </r>
  <r>
    <n v="43"/>
    <x v="10"/>
    <x v="1"/>
    <x v="38"/>
    <x v="2"/>
    <n v="499"/>
    <n v="8982"/>
    <x v="37"/>
  </r>
  <r>
    <n v="44"/>
    <x v="10"/>
    <x v="3"/>
    <x v="39"/>
    <x v="8"/>
    <n v="192"/>
    <n v="1728"/>
    <x v="38"/>
  </r>
  <r>
    <n v="45"/>
    <x v="10"/>
    <x v="1"/>
    <x v="40"/>
    <x v="7"/>
    <n v="678"/>
    <n v="8136"/>
    <x v="39"/>
  </r>
  <r>
    <n v="46"/>
    <x v="10"/>
    <x v="3"/>
    <x v="41"/>
    <x v="7"/>
    <n v="321"/>
    <n v="3852"/>
    <x v="40"/>
  </r>
  <r>
    <n v="47"/>
    <x v="1"/>
    <x v="2"/>
    <x v="42"/>
    <x v="0"/>
    <n v="765"/>
    <n v="11475"/>
    <x v="41"/>
  </r>
  <r>
    <n v="48"/>
    <x v="1"/>
    <x v="0"/>
    <x v="43"/>
    <x v="3"/>
    <n v="541"/>
    <n v="7574"/>
    <x v="42"/>
  </r>
  <r>
    <n v="49"/>
    <x v="1"/>
    <x v="3"/>
    <x v="44"/>
    <x v="8"/>
    <n v="187"/>
    <n v="1683"/>
    <x v="8"/>
  </r>
  <r>
    <n v="50"/>
    <x v="1"/>
    <x v="2"/>
    <x v="45"/>
    <x v="0"/>
    <n v="786"/>
    <n v="11790"/>
    <x v="43"/>
  </r>
  <r>
    <n v="51"/>
    <x v="2"/>
    <x v="0"/>
    <x v="43"/>
    <x v="3"/>
    <n v="655"/>
    <n v="9170"/>
    <x v="44"/>
  </r>
  <r>
    <n v="52"/>
    <x v="2"/>
    <x v="3"/>
    <x v="2"/>
    <x v="1"/>
    <n v="989"/>
    <n v="19780"/>
    <x v="45"/>
  </r>
  <r>
    <n v="53"/>
    <x v="2"/>
    <x v="2"/>
    <x v="46"/>
    <x v="4"/>
    <n v="722"/>
    <n v="11552"/>
    <x v="46"/>
  </r>
  <r>
    <n v="54"/>
    <x v="2"/>
    <x v="1"/>
    <x v="47"/>
    <x v="13"/>
    <n v="864"/>
    <n v="14688"/>
    <x v="47"/>
  </r>
  <r>
    <n v="55"/>
    <x v="3"/>
    <x v="2"/>
    <x v="48"/>
    <x v="1"/>
    <n v="999"/>
    <n v="19980"/>
    <x v="48"/>
  </r>
  <r>
    <n v="56"/>
    <x v="3"/>
    <x v="3"/>
    <x v="26"/>
    <x v="0"/>
    <n v="762"/>
    <n v="11430"/>
    <x v="49"/>
  </r>
  <r>
    <n v="57"/>
    <x v="3"/>
    <x v="0"/>
    <x v="49"/>
    <x v="8"/>
    <n v="127"/>
    <n v="1143"/>
    <x v="5"/>
  </r>
  <r>
    <n v="58"/>
    <x v="3"/>
    <x v="2"/>
    <x v="31"/>
    <x v="14"/>
    <n v="164"/>
    <n v="1312"/>
    <x v="50"/>
  </r>
  <r>
    <n v="59"/>
    <x v="4"/>
    <x v="3"/>
    <x v="50"/>
    <x v="3"/>
    <n v="646"/>
    <n v="9044"/>
    <x v="51"/>
  </r>
  <r>
    <n v="60"/>
    <x v="4"/>
    <x v="1"/>
    <x v="51"/>
    <x v="9"/>
    <n v="294"/>
    <n v="3234"/>
    <x v="52"/>
  </r>
  <r>
    <n v="61"/>
    <x v="4"/>
    <x v="2"/>
    <x v="35"/>
    <x v="17"/>
    <n v="223"/>
    <n v="2230"/>
    <x v="53"/>
  </r>
  <r>
    <n v="62"/>
    <x v="4"/>
    <x v="3"/>
    <x v="34"/>
    <x v="0"/>
    <n v="785"/>
    <n v="11775"/>
    <x v="54"/>
  </r>
  <r>
    <n v="63"/>
    <x v="5"/>
    <x v="1"/>
    <x v="52"/>
    <x v="4"/>
    <n v="777"/>
    <n v="12432"/>
    <x v="55"/>
  </r>
  <r>
    <n v="64"/>
    <x v="5"/>
    <x v="3"/>
    <x v="53"/>
    <x v="8"/>
    <n v="144"/>
    <n v="1296"/>
    <x v="56"/>
  </r>
  <r>
    <n v="65"/>
    <x v="5"/>
    <x v="0"/>
    <x v="46"/>
    <x v="2"/>
    <n v="699"/>
    <n v="12582"/>
    <x v="57"/>
  </r>
  <r>
    <n v="66"/>
    <x v="5"/>
    <x v="3"/>
    <x v="54"/>
    <x v="3"/>
    <n v="665"/>
    <n v="9310"/>
    <x v="58"/>
  </r>
  <r>
    <n v="67"/>
    <x v="6"/>
    <x v="2"/>
    <x v="55"/>
    <x v="17"/>
    <n v="233"/>
    <n v="2330"/>
    <x v="59"/>
  </r>
  <r>
    <n v="68"/>
    <x v="6"/>
    <x v="1"/>
    <x v="56"/>
    <x v="9"/>
    <n v="356"/>
    <n v="3916"/>
    <x v="60"/>
  </r>
  <r>
    <n v="69"/>
    <x v="6"/>
    <x v="0"/>
    <x v="57"/>
    <x v="4"/>
    <n v="715"/>
    <n v="11440"/>
    <x v="61"/>
  </r>
  <r>
    <n v="70"/>
    <x v="6"/>
    <x v="3"/>
    <x v="58"/>
    <x v="2"/>
    <n v="777"/>
    <n v="13986"/>
    <x v="55"/>
  </r>
  <r>
    <n v="71"/>
    <x v="8"/>
    <x v="0"/>
    <x v="59"/>
    <x v="1"/>
    <n v="988"/>
    <n v="19760"/>
    <x v="62"/>
  </r>
  <r>
    <n v="72"/>
    <x v="8"/>
    <x v="2"/>
    <x v="60"/>
    <x v="4"/>
    <n v="712"/>
    <n v="11392"/>
    <x v="63"/>
  </r>
  <r>
    <n v="73"/>
    <x v="8"/>
    <x v="3"/>
    <x v="61"/>
    <x v="0"/>
    <n v="798"/>
    <n v="11970"/>
    <x v="27"/>
  </r>
  <r>
    <n v="74"/>
    <x v="8"/>
    <x v="1"/>
    <x v="23"/>
    <x v="17"/>
    <n v="199"/>
    <n v="1990"/>
    <x v="64"/>
  </r>
  <r>
    <n v="75"/>
    <x v="7"/>
    <x v="2"/>
    <x v="62"/>
    <x v="7"/>
    <n v="478"/>
    <n v="5736"/>
    <x v="65"/>
  </r>
  <r>
    <n v="76"/>
    <x v="7"/>
    <x v="0"/>
    <x v="63"/>
    <x v="8"/>
    <n v="186"/>
    <n v="1674"/>
    <x v="66"/>
  </r>
  <r>
    <n v="77"/>
    <x v="7"/>
    <x v="3"/>
    <x v="64"/>
    <x v="0"/>
    <n v="761"/>
    <n v="11415"/>
    <x v="67"/>
  </r>
  <r>
    <n v="78"/>
    <x v="7"/>
    <x v="1"/>
    <x v="43"/>
    <x v="17"/>
    <n v="288"/>
    <n v="2880"/>
    <x v="68"/>
  </r>
  <r>
    <n v="79"/>
    <x v="9"/>
    <x v="3"/>
    <x v="65"/>
    <x v="2"/>
    <n v="699"/>
    <n v="12582"/>
    <x v="57"/>
  </r>
  <r>
    <n v="80"/>
    <x v="9"/>
    <x v="2"/>
    <x v="66"/>
    <x v="4"/>
    <n v="777"/>
    <n v="12432"/>
    <x v="55"/>
  </r>
  <r>
    <n v="81"/>
    <x v="9"/>
    <x v="0"/>
    <x v="14"/>
    <x v="9"/>
    <n v="355"/>
    <n v="3905"/>
    <x v="60"/>
  </r>
  <r>
    <n v="82"/>
    <x v="9"/>
    <x v="3"/>
    <x v="67"/>
    <x v="17"/>
    <n v="233"/>
    <n v="2330"/>
    <x v="59"/>
  </r>
  <r>
    <n v="83"/>
    <x v="9"/>
    <x v="2"/>
    <x v="68"/>
    <x v="4"/>
    <n v="723"/>
    <n v="11568"/>
    <x v="46"/>
  </r>
  <r>
    <n v="84"/>
    <x v="10"/>
    <x v="3"/>
    <x v="69"/>
    <x v="6"/>
    <n v="467"/>
    <n v="8873"/>
    <x v="69"/>
  </r>
  <r>
    <n v="85"/>
    <x v="1"/>
    <x v="1"/>
    <x v="70"/>
    <x v="9"/>
    <n v="366"/>
    <n v="4026"/>
    <x v="70"/>
  </r>
  <r>
    <n v="86"/>
    <x v="2"/>
    <x v="0"/>
    <x v="63"/>
    <x v="17"/>
    <n v="267"/>
    <n v="2670"/>
    <x v="71"/>
  </r>
  <r>
    <n v="87"/>
    <x v="3"/>
    <x v="2"/>
    <x v="71"/>
    <x v="0"/>
    <n v="789"/>
    <n v="11835"/>
    <x v="54"/>
  </r>
  <r>
    <n v="88"/>
    <x v="8"/>
    <x v="3"/>
    <x v="39"/>
    <x v="3"/>
    <n v="655"/>
    <n v="9170"/>
    <x v="44"/>
  </r>
  <r>
    <n v="89"/>
    <x v="5"/>
    <x v="2"/>
    <x v="34"/>
    <x v="17"/>
    <n v="223"/>
    <n v="2230"/>
    <x v="53"/>
  </r>
  <r>
    <n v="90"/>
    <x v="4"/>
    <x v="1"/>
    <x v="72"/>
    <x v="8"/>
    <n v="192"/>
    <n v="1728"/>
    <x v="38"/>
  </r>
  <r>
    <n v="91"/>
    <x v="6"/>
    <x v="0"/>
    <x v="73"/>
    <x v="7"/>
    <n v="326"/>
    <n v="3912"/>
    <x v="72"/>
  </r>
  <r>
    <n v="92"/>
    <x v="7"/>
    <x v="3"/>
    <x v="47"/>
    <x v="2"/>
    <n v="499"/>
    <n v="8982"/>
    <x v="37"/>
  </r>
  <r>
    <n v="93"/>
    <x v="9"/>
    <x v="2"/>
    <x v="30"/>
    <x v="12"/>
    <n v="633"/>
    <n v="13293"/>
    <x v="73"/>
  </r>
  <r>
    <n v="94"/>
    <x v="10"/>
    <x v="3"/>
    <x v="74"/>
    <x v="16"/>
    <n v="432"/>
    <n v="5616"/>
    <x v="23"/>
  </r>
  <r>
    <n v="95"/>
    <x v="1"/>
    <x v="2"/>
    <x v="75"/>
    <x v="3"/>
    <n v="655"/>
    <n v="9170"/>
    <x v="44"/>
  </r>
  <r>
    <n v="96"/>
    <x v="2"/>
    <x v="0"/>
    <x v="76"/>
    <x v="0"/>
    <n v="785"/>
    <n v="11775"/>
    <x v="54"/>
  </r>
  <r>
    <n v="97"/>
    <x v="3"/>
    <x v="3"/>
    <x v="0"/>
    <x v="8"/>
    <n v="147"/>
    <n v="1323"/>
    <x v="74"/>
  </r>
  <r>
    <n v="98"/>
    <x v="8"/>
    <x v="0"/>
    <x v="77"/>
    <x v="13"/>
    <n v="864"/>
    <n v="14688"/>
    <x v="47"/>
  </r>
  <r>
    <n v="99"/>
    <x v="5"/>
    <x v="3"/>
    <x v="48"/>
    <x v="1"/>
    <n v="999"/>
    <n v="19980"/>
    <x v="48"/>
  </r>
  <r>
    <n v="100"/>
    <x v="4"/>
    <x v="1"/>
    <x v="22"/>
    <x v="4"/>
    <n v="722"/>
    <n v="11552"/>
    <x v="46"/>
  </r>
  <r>
    <n v="101"/>
    <x v="6"/>
    <x v="0"/>
    <x v="31"/>
    <x v="14"/>
    <n v="125"/>
    <n v="1000"/>
    <x v="13"/>
  </r>
  <r>
    <n v="102"/>
    <x v="7"/>
    <x v="3"/>
    <x v="43"/>
    <x v="4"/>
    <n v="777"/>
    <n v="12432"/>
    <x v="55"/>
  </r>
  <r>
    <n v="103"/>
    <x v="9"/>
    <x v="2"/>
    <x v="37"/>
    <x v="7"/>
    <n v="342"/>
    <n v="4104"/>
    <x v="75"/>
  </r>
  <r>
    <n v="104"/>
    <x v="10"/>
    <x v="1"/>
    <x v="38"/>
    <x v="16"/>
    <n v="453"/>
    <n v="5889"/>
    <x v="76"/>
  </r>
  <r>
    <n v="105"/>
    <x v="1"/>
    <x v="2"/>
    <x v="25"/>
    <x v="17"/>
    <n v="238"/>
    <n v="2380"/>
    <x v="77"/>
  </r>
  <r>
    <n v="106"/>
    <x v="2"/>
    <x v="0"/>
    <x v="44"/>
    <x v="6"/>
    <n v="468"/>
    <n v="8892"/>
    <x v="6"/>
  </r>
  <r>
    <n v="107"/>
    <x v="3"/>
    <x v="3"/>
    <x v="51"/>
    <x v="9"/>
    <n v="356"/>
    <n v="3916"/>
    <x v="60"/>
  </r>
  <r>
    <n v="108"/>
    <x v="8"/>
    <x v="0"/>
    <x v="26"/>
    <x v="13"/>
    <n v="799"/>
    <n v="13583"/>
    <x v="78"/>
  </r>
  <r>
    <n v="109"/>
    <x v="5"/>
    <x v="3"/>
    <x v="50"/>
    <x v="0"/>
    <n v="789"/>
    <n v="11835"/>
    <x v="54"/>
  </r>
  <r>
    <n v="110"/>
    <x v="4"/>
    <x v="0"/>
    <x v="32"/>
    <x v="14"/>
    <n v="156"/>
    <n v="1248"/>
    <x v="79"/>
  </r>
  <r>
    <n v="111"/>
    <x v="6"/>
    <x v="2"/>
    <x v="46"/>
    <x v="3"/>
    <n v="655"/>
    <n v="9170"/>
    <x v="44"/>
  </r>
  <r>
    <n v="112"/>
    <x v="7"/>
    <x v="2"/>
    <x v="35"/>
    <x v="17"/>
    <n v="239"/>
    <n v="2390"/>
    <x v="80"/>
  </r>
  <r>
    <n v="113"/>
    <x v="9"/>
    <x v="3"/>
    <x v="45"/>
    <x v="4"/>
    <n v="745"/>
    <n v="11920"/>
    <x v="81"/>
  </r>
  <r>
    <n v="114"/>
    <x v="10"/>
    <x v="1"/>
    <x v="43"/>
    <x v="6"/>
    <n v="489"/>
    <n v="9291"/>
    <x v="82"/>
  </r>
  <r>
    <n v="115"/>
    <x v="1"/>
    <x v="2"/>
    <x v="43"/>
    <x v="8"/>
    <n v="194"/>
    <n v="1746"/>
    <x v="83"/>
  </r>
  <r>
    <n v="116"/>
    <x v="2"/>
    <x v="0"/>
    <x v="78"/>
    <x v="0"/>
    <n v="786"/>
    <n v="11790"/>
    <x v="43"/>
  </r>
  <r>
    <n v="117"/>
    <x v="3"/>
    <x v="3"/>
    <x v="33"/>
    <x v="17"/>
    <n v="219"/>
    <n v="2190"/>
    <x v="84"/>
  </r>
  <r>
    <n v="118"/>
    <x v="8"/>
    <x v="0"/>
    <x v="59"/>
    <x v="13"/>
    <n v="765"/>
    <n v="13005"/>
    <x v="41"/>
  </r>
  <r>
    <n v="119"/>
    <x v="5"/>
    <x v="3"/>
    <x v="57"/>
    <x v="7"/>
    <n v="333"/>
    <n v="3996"/>
    <x v="85"/>
  </r>
  <r>
    <n v="120"/>
    <x v="4"/>
    <x v="0"/>
    <x v="58"/>
    <x v="0"/>
    <n v="789"/>
    <n v="11835"/>
    <x v="54"/>
  </r>
  <r>
    <n v="121"/>
    <x v="6"/>
    <x v="2"/>
    <x v="55"/>
    <x v="8"/>
    <n v="127"/>
    <n v="1143"/>
    <x v="86"/>
  </r>
  <r>
    <n v="122"/>
    <x v="7"/>
    <x v="3"/>
    <x v="54"/>
    <x v="3"/>
    <n v="655"/>
    <n v="9170"/>
    <x v="44"/>
  </r>
  <r>
    <n v="123"/>
    <x v="9"/>
    <x v="3"/>
    <x v="46"/>
    <x v="17"/>
    <n v="225"/>
    <n v="225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66E87-727C-42D6-AF51-E797D1C6F302}" name="PivotTable1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9:D161" firstHeaderRow="0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GS" fld="7" subtotal="average" baseField="1" baseItem="3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FCEEB-BFBD-4CD6-9C0F-88DD98BE2ED3}" name="PivotTable1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2:C144" firstHeaderRow="1" firstDataRow="1" firstDataCol="1"/>
  <pivotFields count="8">
    <pivotField showAll="0"/>
    <pivotField axis="axisRow" showAll="0" sortType="descending">
      <items count="12">
        <item h="1" x="6"/>
        <item h="1" x="8"/>
        <item h="1" x="3"/>
        <item h="1" x="1"/>
        <item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4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5E035-C018-40C1-872F-34F70D0321A9}" name="PivotTable1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3:C136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1"/>
    <field x="2"/>
  </rowFields>
  <rowItems count="3">
    <i>
      <x v="6"/>
    </i>
    <i r="1">
      <x v="2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E0534-180D-4471-914D-960A36606E3E}" name="PivotTable1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8:C128" firstHeaderRow="1" firstDataRow="1" firstDataCol="1"/>
  <pivotFields count="8">
    <pivotField showAll="0"/>
    <pivotField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Average of Unit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D5D7B-B891-4F00-AE45-3A2BCE7CD36A}" name="PivotTable1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4" firstHeaderRow="1" firstDataRow="1" firstDataCol="1"/>
  <pivotFields count="8">
    <pivotField dataField="1"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35FE7-1AD5-4871-90AE-0C54F9463B16}" name="PivotTable1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:C28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D4379-BA1B-4718-8300-25B6FD7A79C1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ghest Cost COGS">
  <location ref="B20:B22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8">
        <item x="48"/>
        <item h="1" x="45"/>
        <item h="1" x="62"/>
        <item h="1" x="29"/>
        <item h="1" x="11"/>
        <item h="1" x="32"/>
        <item h="1" x="47"/>
        <item h="1" x="10"/>
        <item h="1" x="78"/>
        <item h="1" x="27"/>
        <item h="1" x="54"/>
        <item h="1" x="43"/>
        <item h="1" x="55"/>
        <item h="1" x="33"/>
        <item h="1" x="41"/>
        <item h="1" x="49"/>
        <item h="1" x="67"/>
        <item h="1" x="12"/>
        <item h="1" x="1"/>
        <item h="1" x="81"/>
        <item h="1" x="46"/>
        <item h="1" x="61"/>
        <item h="1" x="63"/>
        <item h="1" x="57"/>
        <item h="1" x="22"/>
        <item h="1" x="39"/>
        <item h="1" x="4"/>
        <item h="1" x="58"/>
        <item h="1" x="44"/>
        <item h="1" x="2"/>
        <item h="1" x="51"/>
        <item h="1" x="73"/>
        <item h="1" x="34"/>
        <item h="1" x="26"/>
        <item h="1" x="42"/>
        <item h="1" x="0"/>
        <item h="1" x="15"/>
        <item h="1" x="37"/>
        <item h="1" x="82"/>
        <item h="1" x="65"/>
        <item h="1" x="6"/>
        <item h="1" x="69"/>
        <item h="1" x="18"/>
        <item h="1" x="76"/>
        <item h="1" x="23"/>
        <item h="1" x="14"/>
        <item h="1" x="70"/>
        <item h="1" x="60"/>
        <item h="1" x="7"/>
        <item h="1" x="3"/>
        <item h="1" x="75"/>
        <item h="1" x="20"/>
        <item h="1" x="85"/>
        <item h="1" x="72"/>
        <item h="1" x="36"/>
        <item h="1" x="40"/>
        <item h="1" x="17"/>
        <item h="1" x="52"/>
        <item h="1" x="68"/>
        <item h="1" x="24"/>
        <item h="1" x="9"/>
        <item h="1" x="71"/>
        <item h="1" x="28"/>
        <item h="1" x="31"/>
        <item h="1" x="80"/>
        <item h="1" x="77"/>
        <item h="1" x="59"/>
        <item h="1" x="19"/>
        <item h="1" x="53"/>
        <item h="1" x="84"/>
        <item h="1" x="16"/>
        <item h="1" x="30"/>
        <item h="1" x="64"/>
        <item h="1" x="83"/>
        <item h="1" x="38"/>
        <item h="1" x="8"/>
        <item h="1" x="66"/>
        <item h="1" x="25"/>
        <item h="1" x="50"/>
        <item h="1" x="79"/>
        <item h="1" x="74"/>
        <item h="1" x="56"/>
        <item h="1" x="21"/>
        <item h="1" x="5"/>
        <item h="1" x="86"/>
        <item h="1" x="13"/>
        <item h="1" x="35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2D57C-8B5C-4850-88BC-2023EB320D21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5" firstHeaderRow="1" firstDataRow="1" firstDataCol="1"/>
  <pivotFields count="8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sale of Appliances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4AEB4-AF4C-4ADF-BF62-3D0A64712DD3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E5626-39A3-4645-B905-AE3BB1325B28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3:C45" firstHeaderRow="1" firstDataRow="1" firstDataCol="1"/>
  <pivotFields count="8">
    <pivotField showAll="0"/>
    <pivotField axis="axisRow" showAll="0" sortType="descending">
      <items count="12">
        <item h="1" x="6"/>
        <item h="1" x="8"/>
        <item h="1" x="3"/>
        <item h="1" x="1"/>
        <item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4"/>
    </i>
    <i t="grand">
      <x/>
    </i>
  </rowItems>
  <colItems count="1">
    <i/>
  </colItems>
  <dataFields count="1">
    <dataField name="Total Highest Sales by Product" fld="6" subtotal="max" baseField="1" baseItem="0"/>
  </dataFields>
  <formats count="1">
    <format dxfId="0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B3181-9B30-4CAD-90DC-1DBD0335251D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4:D39" firstHeaderRow="0" firstDataRow="1" firstDataCol="1"/>
  <pivotFields count="8"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Count of Order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EBAA7-791F-4398-A626-C005AE7D1B32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C27" firstHeaderRow="1" firstDataRow="1" firstDataCol="1"/>
  <pivotFields count="8">
    <pivotField dataField="1"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Count of orders" fld="0" subtotal="count" baseField="2" baseItem="0"/>
  </dataFields>
  <formats count="1">
    <format dxfId="1">
      <pivotArea dataOnly="0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8FAF0-5C26-4F07-8157-746768332A19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21" firstHeaderRow="1" firstDataRow="1" firstDataCol="1"/>
  <pivotFields count="8">
    <pivotField dataField="1"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Order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58E51-42D6-4A27-958C-C0A3C930714B}" name="PivotTable2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7:D89" firstHeaderRow="1" firstDataRow="1" firstDataCol="1" rowPageCount="2" colPageCount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axis="axisPage" showAll="0">
      <items count="5">
        <item x="3"/>
        <item x="1"/>
        <item x="0"/>
        <item x="2"/>
        <item t="default"/>
      </items>
    </pivotField>
    <pivotField axis="axisPage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pageFields count="2">
    <pageField fld="2" item="2" hier="-1"/>
    <pageField fld="3" hier="-1"/>
  </pageField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15759-46D3-4F64-86C7-230ADA4C766A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8:H81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4EB15-ACDF-4767-873B-3E63C53B4C2E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1:D6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ax of Units sold" fld="4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CAAE5-4AA1-4436-93CE-A8D474B1317C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:D4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Total Sales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D4DF2-C398-403A-9461-1A885267A8F1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D30" firstHeaderRow="1" firstDataRow="1" firstDataCol="1"/>
  <pivotFields count="8">
    <pivotField showAll="0"/>
    <pivotField axis="axisRow" showAll="0" sortType="ascending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6"/>
    </i>
    <i t="grand">
      <x/>
    </i>
  </rowItems>
  <colItems count="1">
    <i/>
  </colItems>
  <dataFields count="1">
    <dataField name="Min of Total Sales" fld="6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1938B-9ABA-43DC-B8A9-E2FF10A1272B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D23" firstHeaderRow="1" firstDataRow="1" firstDataCol="1"/>
  <pivotFields count="8">
    <pivotField showAll="0"/>
    <pivotField axis="axisRow" showAll="0" sortType="descending">
      <items count="12">
        <item h="1" x="6"/>
        <item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Max of Total Sales" fld="6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27247-BF8E-472F-AEB4-01972D0AD51F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sales" displayName="sales" ref="A1:H124" totalsRowShown="0" headerRowDxfId="14" dataDxfId="12" headerRowBorderDxfId="13" tableBorderDxfId="11" totalsRowBorderDxfId="10">
  <autoFilter ref="A1:H124" xr:uid="{D10A184F-D0B4-4103-9D6E-8C5E1403FFBA}"/>
  <tableColumns count="8">
    <tableColumn id="1" xr3:uid="{1C9B19D6-5D1D-41EB-8805-05F39DF204B8}" name="Sr. No." dataDxfId="9"/>
    <tableColumn id="2" xr3:uid="{92DBD297-9546-42E8-A368-5F0493E59116}" name="Product" dataDxfId="8"/>
    <tableColumn id="3" xr3:uid="{D6AA8D17-DE1E-461D-A506-882B495C0A4D}" name="Region" dataDxfId="7"/>
    <tableColumn id="4" xr3:uid="{4CA9E758-74F2-440E-9C44-070EA9A39B9A}" name="Names" dataDxfId="4"/>
    <tableColumn id="5" xr3:uid="{914E7C4C-743F-4712-9F5D-7AA9B75D4E99}" name="Units" dataDxfId="3"/>
    <tableColumn id="6" xr3:uid="{AFD4235E-CBCC-4B6B-8E33-EDCB7C560D4F}" name="Sales" dataDxfId="6"/>
    <tableColumn id="10" xr3:uid="{F34A560F-D2DC-42AB-B701-59FA7EEF46FC}" name="Total Sales" dataDxfId="2">
      <calculatedColumnFormula>sales[[#This Row],[Sales]]*sales[[#This Row],[Units]]</calculatedColumnFormula>
    </tableColumn>
    <tableColumn id="7" xr3:uid="{A32B3D21-4FC7-437B-8D35-8BD7D8E9BE66}" name="COG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J124"/>
  <sheetViews>
    <sheetView topLeftCell="A98" workbookViewId="0">
      <selection activeCell="D118" sqref="D118"/>
    </sheetView>
  </sheetViews>
  <sheetFormatPr defaultColWidth="16.44140625"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122</v>
      </c>
      <c r="H1" s="3" t="s">
        <v>6</v>
      </c>
    </row>
    <row r="2" spans="1:10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f>sales[[#This Row],[Sales]]*sales[[#This Row],[Units]]</f>
        <v>7845</v>
      </c>
      <c r="H2" s="6">
        <v>321</v>
      </c>
    </row>
    <row r="3" spans="1:10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f>sales[[#This Row],[Sales]]*sales[[#This Row],[Units]]</f>
        <v>15840</v>
      </c>
      <c r="H3" s="6">
        <v>456</v>
      </c>
    </row>
    <row r="4" spans="1:10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f>sales[[#This Row],[Sales]]*sales[[#This Row],[Units]]</f>
        <v>11772</v>
      </c>
      <c r="H4" s="6">
        <v>398</v>
      </c>
      <c r="J4" t="s">
        <v>133</v>
      </c>
    </row>
    <row r="5" spans="1:10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f>sales[[#This Row],[Sales]]*sales[[#This Row],[Units]]</f>
        <v>4830</v>
      </c>
      <c r="H5" s="6">
        <v>210</v>
      </c>
    </row>
    <row r="6" spans="1:10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f>sales[[#This Row],[Sales]]*sales[[#This Row],[Units]]</f>
        <v>10848</v>
      </c>
      <c r="H6" s="6">
        <v>412</v>
      </c>
    </row>
    <row r="7" spans="1:10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f>sales[[#This Row],[Sales]]*sales[[#This Row],[Units]]</f>
        <v>2706</v>
      </c>
      <c r="H7" s="6">
        <v>78</v>
      </c>
    </row>
    <row r="8" spans="1:10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f>sales[[#This Row],[Sales]]*sales[[#This Row],[Units]]</f>
        <v>9291</v>
      </c>
      <c r="H8" s="6">
        <v>286</v>
      </c>
    </row>
    <row r="9" spans="1:10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f>sales[[#This Row],[Sales]]*sales[[#This Row],[Units]]</f>
        <v>4248</v>
      </c>
      <c r="H9" s="6">
        <v>215</v>
      </c>
    </row>
    <row r="10" spans="1:10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f>sales[[#This Row],[Sales]]*sales[[#This Row],[Units]]</f>
        <v>1755</v>
      </c>
      <c r="H10" s="6">
        <v>114</v>
      </c>
    </row>
    <row r="11" spans="1:10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f>sales[[#This Row],[Sales]]*sales[[#This Row],[Units]]</f>
        <v>3014</v>
      </c>
      <c r="H11" s="6">
        <v>167</v>
      </c>
    </row>
    <row r="12" spans="1:10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f>sales[[#This Row],[Sales]]*sales[[#This Row],[Units]]</f>
        <v>21762</v>
      </c>
      <c r="H12" s="6">
        <v>512</v>
      </c>
    </row>
    <row r="13" spans="1:10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f>sales[[#This Row],[Sales]]*sales[[#This Row],[Units]]</f>
        <v>25508</v>
      </c>
      <c r="H13" s="6">
        <v>556</v>
      </c>
    </row>
    <row r="14" spans="1:10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f>sales[[#This Row],[Sales]]*sales[[#This Row],[Units]]</f>
        <v>13713</v>
      </c>
      <c r="H14" s="6">
        <v>398</v>
      </c>
    </row>
    <row r="15" spans="1:10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f>sales[[#This Row],[Sales]]*sales[[#This Row],[Units]]</f>
        <v>13413</v>
      </c>
      <c r="H15" s="6">
        <v>458</v>
      </c>
    </row>
    <row r="16" spans="1:10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f>sales[[#This Row],[Sales]]*sales[[#This Row],[Units]]</f>
        <v>1000</v>
      </c>
      <c r="H16" s="6">
        <v>76</v>
      </c>
    </row>
    <row r="17" spans="1:8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f>sales[[#This Row],[Sales]]*sales[[#This Row],[Units]]</f>
        <v>5138</v>
      </c>
      <c r="H17" s="6">
        <v>224</v>
      </c>
    </row>
    <row r="18" spans="1:8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f>sales[[#This Row],[Sales]]*sales[[#This Row],[Units]]</f>
        <v>12052</v>
      </c>
      <c r="H18" s="6">
        <v>319</v>
      </c>
    </row>
    <row r="19" spans="1:8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f>sales[[#This Row],[Sales]]*sales[[#This Row],[Units]]</f>
        <v>2769</v>
      </c>
      <c r="H19" s="6">
        <v>130</v>
      </c>
    </row>
    <row r="20" spans="1:8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f>sales[[#This Row],[Sales]]*sales[[#This Row],[Units]]</f>
        <v>11835</v>
      </c>
      <c r="H20" s="6">
        <v>458</v>
      </c>
    </row>
    <row r="21" spans="1:8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f>sales[[#This Row],[Sales]]*sales[[#This Row],[Units]]</f>
        <v>6552</v>
      </c>
      <c r="H21" s="6">
        <v>190</v>
      </c>
    </row>
    <row r="22" spans="1:8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f>sales[[#This Row],[Sales]]*sales[[#This Row],[Units]]</f>
        <v>8664</v>
      </c>
      <c r="H22" s="6">
        <v>279</v>
      </c>
    </row>
    <row r="23" spans="1:8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f>sales[[#This Row],[Sales]]*sales[[#This Row],[Units]]</f>
        <v>2240</v>
      </c>
      <c r="H23" s="6">
        <v>137</v>
      </c>
    </row>
    <row r="24" spans="1:8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f>sales[[#This Row],[Sales]]*sales[[#This Row],[Units]]</f>
        <v>3674</v>
      </c>
      <c r="H24" s="6">
        <v>204</v>
      </c>
    </row>
    <row r="25" spans="1:8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f>sales[[#This Row],[Sales]]*sales[[#This Row],[Units]]</f>
        <v>945</v>
      </c>
      <c r="H25" s="6">
        <v>83</v>
      </c>
    </row>
    <row r="26" spans="1:8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f>sales[[#This Row],[Sales]]*sales[[#This Row],[Units]]</f>
        <v>10335</v>
      </c>
      <c r="H26" s="6">
        <v>421</v>
      </c>
    </row>
    <row r="27" spans="1:8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f>sales[[#This Row],[Sales]]*sales[[#This Row],[Units]]</f>
        <v>10800</v>
      </c>
      <c r="H27" s="6">
        <v>263</v>
      </c>
    </row>
    <row r="28" spans="1:8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f>sales[[#This Row],[Sales]]*sales[[#This Row],[Units]]</f>
        <v>3157</v>
      </c>
      <c r="H28" s="6">
        <v>175</v>
      </c>
    </row>
    <row r="29" spans="1:8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f>sales[[#This Row],[Sales]]*sales[[#This Row],[Units]]</f>
        <v>1408</v>
      </c>
      <c r="H29" s="6">
        <v>107</v>
      </c>
    </row>
    <row r="30" spans="1:8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f>sales[[#This Row],[Sales]]*sales[[#This Row],[Units]]</f>
        <v>7215</v>
      </c>
      <c r="H30" s="6">
        <v>339</v>
      </c>
    </row>
    <row r="31" spans="1:8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f>sales[[#This Row],[Sales]]*sales[[#This Row],[Units]]</f>
        <v>6480</v>
      </c>
      <c r="H31" s="6">
        <v>263</v>
      </c>
    </row>
    <row r="32" spans="1:8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f>sales[[#This Row],[Sales]]*sales[[#This Row],[Units]]</f>
        <v>15960</v>
      </c>
      <c r="H32" s="6">
        <v>487</v>
      </c>
    </row>
    <row r="33" spans="1:8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f>sales[[#This Row],[Sales]]*sales[[#This Row],[Units]]</f>
        <v>3975</v>
      </c>
      <c r="H33" s="6">
        <v>162</v>
      </c>
    </row>
    <row r="34" spans="1:8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f>sales[[#This Row],[Sales]]*sales[[#This Row],[Units]]</f>
        <v>27328</v>
      </c>
      <c r="H34" s="6">
        <v>594</v>
      </c>
    </row>
    <row r="35" spans="1:8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f>sales[[#This Row],[Sales]]*sales[[#This Row],[Units]]</f>
        <v>2110</v>
      </c>
      <c r="H35" s="6">
        <v>129</v>
      </c>
    </row>
    <row r="36" spans="1:8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f>sales[[#This Row],[Sales]]*sales[[#This Row],[Units]]</f>
        <v>3072</v>
      </c>
      <c r="H36" s="6">
        <v>156</v>
      </c>
    </row>
    <row r="37" spans="1:8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f>sales[[#This Row],[Sales]]*sales[[#This Row],[Units]]</f>
        <v>19338</v>
      </c>
      <c r="H37" s="6">
        <v>535</v>
      </c>
    </row>
    <row r="38" spans="1:8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f>sales[[#This Row],[Sales]]*sales[[#This Row],[Units]]</f>
        <v>14535</v>
      </c>
      <c r="H38" s="6">
        <v>468</v>
      </c>
    </row>
    <row r="39" spans="1:8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f>sales[[#This Row],[Sales]]*sales[[#This Row],[Units]]</f>
        <v>10183</v>
      </c>
      <c r="H39" s="6">
        <v>365</v>
      </c>
    </row>
    <row r="40" spans="1:8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f>sales[[#This Row],[Sales]]*sales[[#This Row],[Units]]</f>
        <v>8208</v>
      </c>
      <c r="H40" s="6">
        <v>279</v>
      </c>
    </row>
    <row r="41" spans="1:8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f>sales[[#This Row],[Sales]]*sales[[#This Row],[Units]]</f>
        <v>1107</v>
      </c>
      <c r="H41" s="6">
        <v>75</v>
      </c>
    </row>
    <row r="42" spans="1:8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f>sales[[#This Row],[Sales]]*sales[[#This Row],[Units]]</f>
        <v>2556</v>
      </c>
      <c r="H42" s="6">
        <v>130</v>
      </c>
    </row>
    <row r="43" spans="1:8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f>sales[[#This Row],[Sales]]*sales[[#This Row],[Units]]</f>
        <v>3864</v>
      </c>
      <c r="H43" s="6">
        <v>197</v>
      </c>
    </row>
    <row r="44" spans="1:8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f>sales[[#This Row],[Sales]]*sales[[#This Row],[Units]]</f>
        <v>8982</v>
      </c>
      <c r="H44" s="6">
        <v>305</v>
      </c>
    </row>
    <row r="45" spans="1:8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f>sales[[#This Row],[Sales]]*sales[[#This Row],[Units]]</f>
        <v>1728</v>
      </c>
      <c r="H45" s="6">
        <v>117</v>
      </c>
    </row>
    <row r="46" spans="1:8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f>sales[[#This Row],[Sales]]*sales[[#This Row],[Units]]</f>
        <v>8136</v>
      </c>
      <c r="H46" s="6">
        <v>413</v>
      </c>
    </row>
    <row r="47" spans="1:8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f>sales[[#This Row],[Sales]]*sales[[#This Row],[Units]]</f>
        <v>3852</v>
      </c>
      <c r="H47" s="6">
        <v>196</v>
      </c>
    </row>
    <row r="48" spans="1:8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f>sales[[#This Row],[Sales]]*sales[[#This Row],[Units]]</f>
        <v>11475</v>
      </c>
      <c r="H48" s="6">
        <v>466</v>
      </c>
    </row>
    <row r="49" spans="1:8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f>sales[[#This Row],[Sales]]*sales[[#This Row],[Units]]</f>
        <v>7574</v>
      </c>
      <c r="H49" s="6">
        <v>331</v>
      </c>
    </row>
    <row r="50" spans="1:8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f>sales[[#This Row],[Sales]]*sales[[#This Row],[Units]]</f>
        <v>1683</v>
      </c>
      <c r="H50" s="6">
        <v>114</v>
      </c>
    </row>
    <row r="51" spans="1:8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f>sales[[#This Row],[Sales]]*sales[[#This Row],[Units]]</f>
        <v>11790</v>
      </c>
      <c r="H51" s="6">
        <v>479</v>
      </c>
    </row>
    <row r="52" spans="1:8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f>sales[[#This Row],[Sales]]*sales[[#This Row],[Units]]</f>
        <v>9170</v>
      </c>
      <c r="H52" s="6">
        <v>399</v>
      </c>
    </row>
    <row r="53" spans="1:8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f>sales[[#This Row],[Sales]]*sales[[#This Row],[Units]]</f>
        <v>19780</v>
      </c>
      <c r="H53" s="6">
        <v>603</v>
      </c>
    </row>
    <row r="54" spans="1:8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f>sales[[#This Row],[Sales]]*sales[[#This Row],[Units]]</f>
        <v>11552</v>
      </c>
      <c r="H54" s="6">
        <v>441</v>
      </c>
    </row>
    <row r="55" spans="1:8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f>sales[[#This Row],[Sales]]*sales[[#This Row],[Units]]</f>
        <v>14688</v>
      </c>
      <c r="H55" s="6">
        <v>527</v>
      </c>
    </row>
    <row r="56" spans="1:8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f>sales[[#This Row],[Sales]]*sales[[#This Row],[Units]]</f>
        <v>19980</v>
      </c>
      <c r="H56" s="6">
        <v>610</v>
      </c>
    </row>
    <row r="57" spans="1:8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f>sales[[#This Row],[Sales]]*sales[[#This Row],[Units]]</f>
        <v>11430</v>
      </c>
      <c r="H57" s="6">
        <v>465</v>
      </c>
    </row>
    <row r="58" spans="1:8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f>sales[[#This Row],[Sales]]*sales[[#This Row],[Units]]</f>
        <v>1143</v>
      </c>
      <c r="H58" s="6">
        <v>78</v>
      </c>
    </row>
    <row r="59" spans="1:8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f>sales[[#This Row],[Sales]]*sales[[#This Row],[Units]]</f>
        <v>1312</v>
      </c>
      <c r="H59" s="6">
        <v>100</v>
      </c>
    </row>
    <row r="60" spans="1:8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f>sales[[#This Row],[Sales]]*sales[[#This Row],[Units]]</f>
        <v>9044</v>
      </c>
      <c r="H60" s="6">
        <v>394</v>
      </c>
    </row>
    <row r="61" spans="1:8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f>sales[[#This Row],[Sales]]*sales[[#This Row],[Units]]</f>
        <v>3234</v>
      </c>
      <c r="H61" s="6">
        <v>179</v>
      </c>
    </row>
    <row r="62" spans="1:8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f>sales[[#This Row],[Sales]]*sales[[#This Row],[Units]]</f>
        <v>2230</v>
      </c>
      <c r="H62" s="6">
        <v>136</v>
      </c>
    </row>
    <row r="63" spans="1:8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f>sales[[#This Row],[Sales]]*sales[[#This Row],[Units]]</f>
        <v>11775</v>
      </c>
      <c r="H63" s="6">
        <v>480</v>
      </c>
    </row>
    <row r="64" spans="1:8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f>sales[[#This Row],[Sales]]*sales[[#This Row],[Units]]</f>
        <v>12432</v>
      </c>
      <c r="H64" s="6">
        <v>475</v>
      </c>
    </row>
    <row r="65" spans="1:8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f>sales[[#This Row],[Sales]]*sales[[#This Row],[Units]]</f>
        <v>1296</v>
      </c>
      <c r="H65" s="6">
        <v>88</v>
      </c>
    </row>
    <row r="66" spans="1:8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f>sales[[#This Row],[Sales]]*sales[[#This Row],[Units]]</f>
        <v>12582</v>
      </c>
      <c r="H66" s="6">
        <v>426</v>
      </c>
    </row>
    <row r="67" spans="1:8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f>sales[[#This Row],[Sales]]*sales[[#This Row],[Units]]</f>
        <v>9310</v>
      </c>
      <c r="H67" s="6">
        <v>406</v>
      </c>
    </row>
    <row r="68" spans="1:8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f>sales[[#This Row],[Sales]]*sales[[#This Row],[Units]]</f>
        <v>2330</v>
      </c>
      <c r="H68" s="6">
        <v>142</v>
      </c>
    </row>
    <row r="69" spans="1:8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f>sales[[#This Row],[Sales]]*sales[[#This Row],[Units]]</f>
        <v>3916</v>
      </c>
      <c r="H69" s="6">
        <v>217</v>
      </c>
    </row>
    <row r="70" spans="1:8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f>sales[[#This Row],[Sales]]*sales[[#This Row],[Units]]</f>
        <v>11440</v>
      </c>
      <c r="H70" s="6">
        <v>436</v>
      </c>
    </row>
    <row r="71" spans="1:8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f>sales[[#This Row],[Sales]]*sales[[#This Row],[Units]]</f>
        <v>13986</v>
      </c>
      <c r="H71" s="6">
        <v>475</v>
      </c>
    </row>
    <row r="72" spans="1:8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f>sales[[#This Row],[Sales]]*sales[[#This Row],[Units]]</f>
        <v>19760</v>
      </c>
      <c r="H72" s="6">
        <v>602</v>
      </c>
    </row>
    <row r="73" spans="1:8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f>sales[[#This Row],[Sales]]*sales[[#This Row],[Units]]</f>
        <v>11392</v>
      </c>
      <c r="H73" s="6">
        <v>434</v>
      </c>
    </row>
    <row r="74" spans="1:8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f>sales[[#This Row],[Sales]]*sales[[#This Row],[Units]]</f>
        <v>11970</v>
      </c>
      <c r="H74" s="6">
        <v>487</v>
      </c>
    </row>
    <row r="75" spans="1:8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f>sales[[#This Row],[Sales]]*sales[[#This Row],[Units]]</f>
        <v>1990</v>
      </c>
      <c r="H75" s="6">
        <v>121</v>
      </c>
    </row>
    <row r="76" spans="1:8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f>sales[[#This Row],[Sales]]*sales[[#This Row],[Units]]</f>
        <v>5736</v>
      </c>
      <c r="H76" s="6">
        <v>292</v>
      </c>
    </row>
    <row r="77" spans="1:8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f>sales[[#This Row],[Sales]]*sales[[#This Row],[Units]]</f>
        <v>1674</v>
      </c>
      <c r="H77" s="6">
        <v>113</v>
      </c>
    </row>
    <row r="78" spans="1:8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f>sales[[#This Row],[Sales]]*sales[[#This Row],[Units]]</f>
        <v>11415</v>
      </c>
      <c r="H78" s="6">
        <v>464</v>
      </c>
    </row>
    <row r="79" spans="1:8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f>sales[[#This Row],[Sales]]*sales[[#This Row],[Units]]</f>
        <v>2880</v>
      </c>
      <c r="H79" s="6">
        <v>176</v>
      </c>
    </row>
    <row r="80" spans="1:8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f>sales[[#This Row],[Sales]]*sales[[#This Row],[Units]]</f>
        <v>12582</v>
      </c>
      <c r="H80" s="6">
        <v>426</v>
      </c>
    </row>
    <row r="81" spans="1:8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f>sales[[#This Row],[Sales]]*sales[[#This Row],[Units]]</f>
        <v>12432</v>
      </c>
      <c r="H81" s="6">
        <v>475</v>
      </c>
    </row>
    <row r="82" spans="1:8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f>sales[[#This Row],[Sales]]*sales[[#This Row],[Units]]</f>
        <v>3905</v>
      </c>
      <c r="H82" s="6">
        <v>217</v>
      </c>
    </row>
    <row r="83" spans="1:8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f>sales[[#This Row],[Sales]]*sales[[#This Row],[Units]]</f>
        <v>2330</v>
      </c>
      <c r="H83" s="6">
        <v>142</v>
      </c>
    </row>
    <row r="84" spans="1:8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f>sales[[#This Row],[Sales]]*sales[[#This Row],[Units]]</f>
        <v>11568</v>
      </c>
      <c r="H84" s="6">
        <v>441</v>
      </c>
    </row>
    <row r="85" spans="1:8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f>sales[[#This Row],[Sales]]*sales[[#This Row],[Units]]</f>
        <v>8873</v>
      </c>
      <c r="H85" s="6">
        <v>285</v>
      </c>
    </row>
    <row r="86" spans="1:8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f>sales[[#This Row],[Sales]]*sales[[#This Row],[Units]]</f>
        <v>4026</v>
      </c>
      <c r="H86" s="6">
        <v>223</v>
      </c>
    </row>
    <row r="87" spans="1:8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f>sales[[#This Row],[Sales]]*sales[[#This Row],[Units]]</f>
        <v>2670</v>
      </c>
      <c r="H87" s="6">
        <v>163</v>
      </c>
    </row>
    <row r="88" spans="1:8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f>sales[[#This Row],[Sales]]*sales[[#This Row],[Units]]</f>
        <v>11835</v>
      </c>
      <c r="H88" s="6">
        <v>480</v>
      </c>
    </row>
    <row r="89" spans="1:8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f>sales[[#This Row],[Sales]]*sales[[#This Row],[Units]]</f>
        <v>9170</v>
      </c>
      <c r="H89" s="6">
        <v>399</v>
      </c>
    </row>
    <row r="90" spans="1:8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f>sales[[#This Row],[Sales]]*sales[[#This Row],[Units]]</f>
        <v>2230</v>
      </c>
      <c r="H90" s="6">
        <v>136</v>
      </c>
    </row>
    <row r="91" spans="1:8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f>sales[[#This Row],[Sales]]*sales[[#This Row],[Units]]</f>
        <v>1728</v>
      </c>
      <c r="H91" s="6">
        <v>117</v>
      </c>
    </row>
    <row r="92" spans="1:8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f>sales[[#This Row],[Sales]]*sales[[#This Row],[Units]]</f>
        <v>3912</v>
      </c>
      <c r="H92" s="6">
        <v>199</v>
      </c>
    </row>
    <row r="93" spans="1:8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f>sales[[#This Row],[Sales]]*sales[[#This Row],[Units]]</f>
        <v>8982</v>
      </c>
      <c r="H93" s="6">
        <v>305</v>
      </c>
    </row>
    <row r="94" spans="1:8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f>sales[[#This Row],[Sales]]*sales[[#This Row],[Units]]</f>
        <v>13293</v>
      </c>
      <c r="H94" s="6">
        <v>385</v>
      </c>
    </row>
    <row r="95" spans="1:8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f>sales[[#This Row],[Sales]]*sales[[#This Row],[Units]]</f>
        <v>5616</v>
      </c>
      <c r="H95" s="6">
        <v>263</v>
      </c>
    </row>
    <row r="96" spans="1:8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f>sales[[#This Row],[Sales]]*sales[[#This Row],[Units]]</f>
        <v>9170</v>
      </c>
      <c r="H96" s="6">
        <v>399</v>
      </c>
    </row>
    <row r="97" spans="1:8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f>sales[[#This Row],[Sales]]*sales[[#This Row],[Units]]</f>
        <v>11775</v>
      </c>
      <c r="H97" s="6">
        <v>480</v>
      </c>
    </row>
    <row r="98" spans="1:8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f>sales[[#This Row],[Sales]]*sales[[#This Row],[Units]]</f>
        <v>1323</v>
      </c>
      <c r="H98" s="6">
        <v>90</v>
      </c>
    </row>
    <row r="99" spans="1:8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f>sales[[#This Row],[Sales]]*sales[[#This Row],[Units]]</f>
        <v>14688</v>
      </c>
      <c r="H99" s="6">
        <v>527</v>
      </c>
    </row>
    <row r="100" spans="1:8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f>sales[[#This Row],[Sales]]*sales[[#This Row],[Units]]</f>
        <v>19980</v>
      </c>
      <c r="H100" s="6">
        <v>610</v>
      </c>
    </row>
    <row r="101" spans="1:8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f>sales[[#This Row],[Sales]]*sales[[#This Row],[Units]]</f>
        <v>11552</v>
      </c>
      <c r="H101" s="6">
        <v>441</v>
      </c>
    </row>
    <row r="102" spans="1:8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f>sales[[#This Row],[Sales]]*sales[[#This Row],[Units]]</f>
        <v>1000</v>
      </c>
      <c r="H102" s="6">
        <v>76</v>
      </c>
    </row>
    <row r="103" spans="1:8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f>sales[[#This Row],[Sales]]*sales[[#This Row],[Units]]</f>
        <v>12432</v>
      </c>
      <c r="H103" s="6">
        <v>475</v>
      </c>
    </row>
    <row r="104" spans="1:8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f>sales[[#This Row],[Sales]]*sales[[#This Row],[Units]]</f>
        <v>4104</v>
      </c>
      <c r="H104" s="6">
        <v>209</v>
      </c>
    </row>
    <row r="105" spans="1:8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f>sales[[#This Row],[Sales]]*sales[[#This Row],[Units]]</f>
        <v>5889</v>
      </c>
      <c r="H105" s="6">
        <v>276</v>
      </c>
    </row>
    <row r="106" spans="1:8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f>sales[[#This Row],[Sales]]*sales[[#This Row],[Units]]</f>
        <v>2380</v>
      </c>
      <c r="H106" s="6">
        <v>145</v>
      </c>
    </row>
    <row r="107" spans="1:8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f>sales[[#This Row],[Sales]]*sales[[#This Row],[Units]]</f>
        <v>8892</v>
      </c>
      <c r="H107" s="6">
        <v>286</v>
      </c>
    </row>
    <row r="108" spans="1:8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f>sales[[#This Row],[Sales]]*sales[[#This Row],[Units]]</f>
        <v>3916</v>
      </c>
      <c r="H108" s="6">
        <v>217</v>
      </c>
    </row>
    <row r="109" spans="1:8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f>sales[[#This Row],[Sales]]*sales[[#This Row],[Units]]</f>
        <v>13583</v>
      </c>
      <c r="H109" s="6">
        <v>488</v>
      </c>
    </row>
    <row r="110" spans="1:8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f>sales[[#This Row],[Sales]]*sales[[#This Row],[Units]]</f>
        <v>11835</v>
      </c>
      <c r="H110" s="6">
        <v>480</v>
      </c>
    </row>
    <row r="111" spans="1:8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f>sales[[#This Row],[Sales]]*sales[[#This Row],[Units]]</f>
        <v>1248</v>
      </c>
      <c r="H111" s="6">
        <v>95</v>
      </c>
    </row>
    <row r="112" spans="1:8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f>sales[[#This Row],[Sales]]*sales[[#This Row],[Units]]</f>
        <v>9170</v>
      </c>
      <c r="H112" s="6">
        <v>399</v>
      </c>
    </row>
    <row r="113" spans="1:8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f>sales[[#This Row],[Sales]]*sales[[#This Row],[Units]]</f>
        <v>2390</v>
      </c>
      <c r="H113" s="6">
        <v>146</v>
      </c>
    </row>
    <row r="114" spans="1:8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f>sales[[#This Row],[Sales]]*sales[[#This Row],[Units]]</f>
        <v>11920</v>
      </c>
      <c r="H114" s="6">
        <v>454</v>
      </c>
    </row>
    <row r="115" spans="1:8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f>sales[[#This Row],[Sales]]*sales[[#This Row],[Units]]</f>
        <v>9291</v>
      </c>
      <c r="H115" s="6">
        <v>298</v>
      </c>
    </row>
    <row r="116" spans="1:8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f>sales[[#This Row],[Sales]]*sales[[#This Row],[Units]]</f>
        <v>1746</v>
      </c>
      <c r="H116" s="6">
        <v>118</v>
      </c>
    </row>
    <row r="117" spans="1:8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f>sales[[#This Row],[Sales]]*sales[[#This Row],[Units]]</f>
        <v>11790</v>
      </c>
      <c r="H117" s="6">
        <v>479</v>
      </c>
    </row>
    <row r="118" spans="1:8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f>sales[[#This Row],[Sales]]*sales[[#This Row],[Units]]</f>
        <v>2190</v>
      </c>
      <c r="H118" s="6">
        <v>133</v>
      </c>
    </row>
    <row r="119" spans="1:8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f>sales[[#This Row],[Sales]]*sales[[#This Row],[Units]]</f>
        <v>13005</v>
      </c>
      <c r="H119" s="6">
        <v>466</v>
      </c>
    </row>
    <row r="120" spans="1:8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f>sales[[#This Row],[Sales]]*sales[[#This Row],[Units]]</f>
        <v>3996</v>
      </c>
      <c r="H120" s="6">
        <v>203</v>
      </c>
    </row>
    <row r="121" spans="1:8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f>sales[[#This Row],[Sales]]*sales[[#This Row],[Units]]</f>
        <v>11835</v>
      </c>
      <c r="H121" s="6">
        <v>480</v>
      </c>
    </row>
    <row r="122" spans="1:8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f>sales[[#This Row],[Sales]]*sales[[#This Row],[Units]]</f>
        <v>1143</v>
      </c>
      <c r="H122" s="6">
        <v>77</v>
      </c>
    </row>
    <row r="123" spans="1:8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f>sales[[#This Row],[Sales]]*sales[[#This Row],[Units]]</f>
        <v>9170</v>
      </c>
      <c r="H123" s="6">
        <v>399</v>
      </c>
    </row>
    <row r="124" spans="1:8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f>sales[[#This Row],[Sales]]*sales[[#This Row],[Units]]</f>
        <v>2250</v>
      </c>
      <c r="H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31"/>
  <sheetViews>
    <sheetView workbookViewId="0">
      <selection activeCell="B18" sqref="B18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3133-333D-4597-8291-AB014CF2A3A9}">
  <dimension ref="A2:G161"/>
  <sheetViews>
    <sheetView topLeftCell="A157" workbookViewId="0">
      <selection activeCell="B150" sqref="B150"/>
    </sheetView>
  </sheetViews>
  <sheetFormatPr defaultRowHeight="14.4" x14ac:dyDescent="0.3"/>
  <cols>
    <col min="2" max="2" width="12.5546875" bestFit="1" customWidth="1"/>
    <col min="3" max="3" width="15.33203125" bestFit="1" customWidth="1"/>
    <col min="4" max="4" width="11.77734375" bestFit="1" customWidth="1"/>
    <col min="5" max="5" width="2" bestFit="1" customWidth="1"/>
    <col min="6" max="22" width="3" bestFit="1" customWidth="1"/>
    <col min="23" max="23" width="10.77734375" bestFit="1" customWidth="1"/>
  </cols>
  <sheetData>
    <row r="2" spans="2:3" x14ac:dyDescent="0.3">
      <c r="B2" s="10" t="s">
        <v>101</v>
      </c>
    </row>
    <row r="4" spans="2:3" x14ac:dyDescent="0.3">
      <c r="B4" s="15" t="s">
        <v>134</v>
      </c>
      <c r="C4" t="s">
        <v>144</v>
      </c>
    </row>
    <row r="5" spans="2:3" x14ac:dyDescent="0.3">
      <c r="B5" s="16" t="s">
        <v>27</v>
      </c>
      <c r="C5" s="17">
        <v>530</v>
      </c>
    </row>
    <row r="6" spans="2:3" x14ac:dyDescent="0.3">
      <c r="B6" s="16" t="s">
        <v>15</v>
      </c>
      <c r="C6" s="17">
        <v>294</v>
      </c>
    </row>
    <row r="7" spans="2:3" x14ac:dyDescent="0.3">
      <c r="B7" s="16" t="s">
        <v>8</v>
      </c>
      <c r="C7" s="17">
        <v>469</v>
      </c>
    </row>
    <row r="8" spans="2:3" x14ac:dyDescent="0.3">
      <c r="B8" s="16" t="s">
        <v>21</v>
      </c>
      <c r="C8" s="17">
        <v>482</v>
      </c>
    </row>
    <row r="9" spans="2:3" x14ac:dyDescent="0.3">
      <c r="B9" s="16" t="s">
        <v>135</v>
      </c>
      <c r="C9" s="17">
        <v>1775</v>
      </c>
    </row>
    <row r="11" spans="2:3" x14ac:dyDescent="0.3">
      <c r="B11" s="12" t="s">
        <v>102</v>
      </c>
    </row>
    <row r="13" spans="2:3" x14ac:dyDescent="0.3">
      <c r="B13" s="15" t="s">
        <v>134</v>
      </c>
      <c r="C13" t="s">
        <v>146</v>
      </c>
    </row>
    <row r="14" spans="2:3" x14ac:dyDescent="0.3">
      <c r="B14" s="16" t="s">
        <v>41</v>
      </c>
      <c r="C14" s="17">
        <v>6471.727272727273</v>
      </c>
    </row>
    <row r="15" spans="2:3" x14ac:dyDescent="0.3">
      <c r="B15" s="16" t="s">
        <v>135</v>
      </c>
      <c r="C15" s="17">
        <v>6471.727272727273</v>
      </c>
    </row>
    <row r="18" spans="2:3" x14ac:dyDescent="0.3">
      <c r="B18" s="11" t="s">
        <v>103</v>
      </c>
    </row>
    <row r="20" spans="2:3" x14ac:dyDescent="0.3">
      <c r="B20" s="15" t="s">
        <v>147</v>
      </c>
    </row>
    <row r="21" spans="2:3" x14ac:dyDescent="0.3">
      <c r="B21" s="16">
        <v>610</v>
      </c>
    </row>
    <row r="22" spans="2:3" x14ac:dyDescent="0.3">
      <c r="B22" s="16" t="s">
        <v>135</v>
      </c>
    </row>
    <row r="24" spans="2:3" x14ac:dyDescent="0.3">
      <c r="B24" s="11" t="s">
        <v>104</v>
      </c>
    </row>
    <row r="26" spans="2:3" x14ac:dyDescent="0.3">
      <c r="B26" s="15" t="s">
        <v>134</v>
      </c>
      <c r="C26" t="s">
        <v>138</v>
      </c>
    </row>
    <row r="27" spans="2:3" x14ac:dyDescent="0.3">
      <c r="B27" s="16" t="s">
        <v>14</v>
      </c>
      <c r="C27" s="17">
        <v>67844</v>
      </c>
    </row>
    <row r="28" spans="2:3" x14ac:dyDescent="0.3">
      <c r="B28" s="16" t="s">
        <v>135</v>
      </c>
      <c r="C28" s="17">
        <v>67844</v>
      </c>
    </row>
    <row r="30" spans="2:3" x14ac:dyDescent="0.3">
      <c r="B30" s="11" t="s">
        <v>105</v>
      </c>
    </row>
    <row r="32" spans="2:3" x14ac:dyDescent="0.3">
      <c r="B32" s="15" t="s">
        <v>134</v>
      </c>
      <c r="C32" t="s">
        <v>148</v>
      </c>
    </row>
    <row r="33" spans="2:3" x14ac:dyDescent="0.3">
      <c r="B33" s="16" t="s">
        <v>41</v>
      </c>
      <c r="C33" s="17">
        <v>11</v>
      </c>
    </row>
    <row r="34" spans="2:3" x14ac:dyDescent="0.3">
      <c r="B34" s="16" t="s">
        <v>49</v>
      </c>
      <c r="C34" s="17">
        <v>12</v>
      </c>
    </row>
    <row r="35" spans="2:3" x14ac:dyDescent="0.3">
      <c r="B35" s="16" t="s">
        <v>26</v>
      </c>
      <c r="C35" s="17">
        <v>12</v>
      </c>
    </row>
    <row r="36" spans="2:3" x14ac:dyDescent="0.3">
      <c r="B36" s="16" t="s">
        <v>14</v>
      </c>
      <c r="C36" s="17">
        <v>12</v>
      </c>
    </row>
    <row r="37" spans="2:3" x14ac:dyDescent="0.3">
      <c r="B37" s="16" t="s">
        <v>20</v>
      </c>
      <c r="C37" s="17">
        <v>12</v>
      </c>
    </row>
    <row r="38" spans="2:3" x14ac:dyDescent="0.3">
      <c r="B38" s="16" t="s">
        <v>59</v>
      </c>
      <c r="C38" s="17">
        <v>12</v>
      </c>
    </row>
    <row r="39" spans="2:3" x14ac:dyDescent="0.3">
      <c r="B39" s="16" t="s">
        <v>37</v>
      </c>
      <c r="C39" s="17">
        <v>11</v>
      </c>
    </row>
    <row r="40" spans="2:3" x14ac:dyDescent="0.3">
      <c r="B40" s="16" t="s">
        <v>32</v>
      </c>
      <c r="C40" s="17">
        <v>12</v>
      </c>
    </row>
    <row r="41" spans="2:3" x14ac:dyDescent="0.3">
      <c r="B41" s="16" t="s">
        <v>7</v>
      </c>
      <c r="C41" s="17">
        <v>5</v>
      </c>
    </row>
    <row r="42" spans="2:3" x14ac:dyDescent="0.3">
      <c r="B42" s="16" t="s">
        <v>54</v>
      </c>
      <c r="C42" s="17">
        <v>13</v>
      </c>
    </row>
    <row r="43" spans="2:3" x14ac:dyDescent="0.3">
      <c r="B43" s="16" t="s">
        <v>45</v>
      </c>
      <c r="C43" s="17">
        <v>11</v>
      </c>
    </row>
    <row r="44" spans="2:3" x14ac:dyDescent="0.3">
      <c r="B44" s="16" t="s">
        <v>135</v>
      </c>
      <c r="C44" s="17">
        <v>123</v>
      </c>
    </row>
    <row r="46" spans="2:3" x14ac:dyDescent="0.3">
      <c r="B46" s="11" t="s">
        <v>106</v>
      </c>
    </row>
    <row r="48" spans="2:3" x14ac:dyDescent="0.3">
      <c r="B48" s="15" t="s">
        <v>134</v>
      </c>
      <c r="C48" t="s">
        <v>149</v>
      </c>
    </row>
    <row r="49" spans="2:3" x14ac:dyDescent="0.3">
      <c r="B49" s="16" t="s">
        <v>82</v>
      </c>
      <c r="C49" s="17">
        <v>16</v>
      </c>
    </row>
    <row r="50" spans="2:3" x14ac:dyDescent="0.3">
      <c r="B50" s="16" t="s">
        <v>9</v>
      </c>
      <c r="C50" s="17">
        <v>12</v>
      </c>
    </row>
    <row r="51" spans="2:3" x14ac:dyDescent="0.3">
      <c r="B51" s="16" t="s">
        <v>93</v>
      </c>
      <c r="C51" s="17">
        <v>15</v>
      </c>
    </row>
    <row r="52" spans="2:3" x14ac:dyDescent="0.3">
      <c r="B52" s="16" t="s">
        <v>10</v>
      </c>
      <c r="C52" s="17">
        <v>20</v>
      </c>
    </row>
    <row r="53" spans="2:3" x14ac:dyDescent="0.3">
      <c r="B53" s="16" t="s">
        <v>38</v>
      </c>
      <c r="C53" s="17">
        <v>10</v>
      </c>
    </row>
    <row r="54" spans="2:3" x14ac:dyDescent="0.3">
      <c r="B54" s="16" t="s">
        <v>43</v>
      </c>
      <c r="C54" s="17">
        <v>17.5</v>
      </c>
    </row>
    <row r="55" spans="2:3" x14ac:dyDescent="0.3">
      <c r="B55" s="16" t="s">
        <v>81</v>
      </c>
      <c r="C55" s="17">
        <v>18.5</v>
      </c>
    </row>
    <row r="56" spans="2:3" x14ac:dyDescent="0.3">
      <c r="B56" s="16" t="s">
        <v>11</v>
      </c>
      <c r="C56" s="17">
        <v>19</v>
      </c>
    </row>
    <row r="57" spans="2:3" x14ac:dyDescent="0.3">
      <c r="B57" s="16" t="s">
        <v>64</v>
      </c>
      <c r="C57" s="17">
        <v>15</v>
      </c>
    </row>
    <row r="58" spans="2:3" x14ac:dyDescent="0.3">
      <c r="B58" s="16" t="s">
        <v>55</v>
      </c>
      <c r="C58" s="17">
        <v>12.333333333333334</v>
      </c>
    </row>
    <row r="59" spans="2:3" x14ac:dyDescent="0.3">
      <c r="B59" s="16" t="s">
        <v>71</v>
      </c>
      <c r="C59" s="17">
        <v>9</v>
      </c>
    </row>
    <row r="60" spans="2:3" x14ac:dyDescent="0.3">
      <c r="B60" s="16" t="s">
        <v>98</v>
      </c>
      <c r="C60" s="17">
        <v>15</v>
      </c>
    </row>
    <row r="61" spans="2:3" x14ac:dyDescent="0.3">
      <c r="B61" s="16" t="s">
        <v>83</v>
      </c>
      <c r="C61" s="17">
        <v>15</v>
      </c>
    </row>
    <row r="62" spans="2:3" x14ac:dyDescent="0.3">
      <c r="B62" s="16" t="s">
        <v>39</v>
      </c>
      <c r="C62" s="17">
        <v>13.5</v>
      </c>
    </row>
    <row r="63" spans="2:3" x14ac:dyDescent="0.3">
      <c r="B63" s="16" t="s">
        <v>75</v>
      </c>
      <c r="C63" s="17">
        <v>9</v>
      </c>
    </row>
    <row r="64" spans="2:3" x14ac:dyDescent="0.3">
      <c r="B64" s="16" t="s">
        <v>67</v>
      </c>
      <c r="C64" s="17">
        <v>15.5</v>
      </c>
    </row>
    <row r="65" spans="2:3" x14ac:dyDescent="0.3">
      <c r="B65" s="16" t="s">
        <v>92</v>
      </c>
      <c r="C65" s="17">
        <v>11</v>
      </c>
    </row>
    <row r="66" spans="2:3" x14ac:dyDescent="0.3">
      <c r="B66" s="16" t="s">
        <v>25</v>
      </c>
      <c r="C66" s="17">
        <v>21</v>
      </c>
    </row>
    <row r="67" spans="2:3" x14ac:dyDescent="0.3">
      <c r="B67" s="16" t="s">
        <v>90</v>
      </c>
      <c r="C67" s="17">
        <v>16</v>
      </c>
    </row>
    <row r="68" spans="2:3" x14ac:dyDescent="0.3">
      <c r="B68" s="16" t="s">
        <v>61</v>
      </c>
      <c r="C68" s="17">
        <v>10.666666666666666</v>
      </c>
    </row>
    <row r="69" spans="2:3" x14ac:dyDescent="0.3">
      <c r="B69" s="16" t="s">
        <v>56</v>
      </c>
      <c r="C69" s="17">
        <v>14</v>
      </c>
    </row>
    <row r="70" spans="2:3" x14ac:dyDescent="0.3">
      <c r="B70" s="16" t="s">
        <v>12</v>
      </c>
      <c r="C70" s="17">
        <v>14</v>
      </c>
    </row>
    <row r="71" spans="2:3" x14ac:dyDescent="0.3">
      <c r="B71" s="16" t="s">
        <v>42</v>
      </c>
      <c r="C71" s="17">
        <v>15</v>
      </c>
    </row>
    <row r="72" spans="2:3" x14ac:dyDescent="0.3">
      <c r="B72" s="16" t="s">
        <v>40</v>
      </c>
      <c r="C72" s="17">
        <v>8.5</v>
      </c>
    </row>
    <row r="73" spans="2:3" x14ac:dyDescent="0.3">
      <c r="B73" s="16" t="s">
        <v>94</v>
      </c>
      <c r="C73" s="17">
        <v>9</v>
      </c>
    </row>
    <row r="74" spans="2:3" x14ac:dyDescent="0.3">
      <c r="B74" s="16" t="s">
        <v>44</v>
      </c>
      <c r="C74" s="17">
        <v>14.333333333333334</v>
      </c>
    </row>
    <row r="75" spans="2:3" x14ac:dyDescent="0.3">
      <c r="B75" s="16" t="s">
        <v>13</v>
      </c>
      <c r="C75" s="17">
        <v>16</v>
      </c>
    </row>
    <row r="76" spans="2:3" x14ac:dyDescent="0.3">
      <c r="B76" s="16" t="s">
        <v>87</v>
      </c>
      <c r="C76" s="17">
        <v>18</v>
      </c>
    </row>
    <row r="77" spans="2:3" x14ac:dyDescent="0.3">
      <c r="B77" s="16" t="s">
        <v>58</v>
      </c>
      <c r="C77" s="17">
        <v>14.5</v>
      </c>
    </row>
    <row r="78" spans="2:3" x14ac:dyDescent="0.3">
      <c r="B78" s="16" t="s">
        <v>79</v>
      </c>
      <c r="C78" s="17">
        <v>14</v>
      </c>
    </row>
    <row r="79" spans="2:3" x14ac:dyDescent="0.3">
      <c r="B79" s="16" t="s">
        <v>16</v>
      </c>
      <c r="C79" s="17">
        <v>22</v>
      </c>
    </row>
    <row r="80" spans="2:3" x14ac:dyDescent="0.3">
      <c r="B80" s="16" t="s">
        <v>19</v>
      </c>
      <c r="C80" s="17">
        <v>9</v>
      </c>
    </row>
    <row r="81" spans="2:3" x14ac:dyDescent="0.3">
      <c r="B81" s="16" t="s">
        <v>97</v>
      </c>
      <c r="C81" s="17">
        <v>14</v>
      </c>
    </row>
    <row r="82" spans="2:3" x14ac:dyDescent="0.3">
      <c r="B82" s="16" t="s">
        <v>95</v>
      </c>
      <c r="C82" s="17">
        <v>12</v>
      </c>
    </row>
    <row r="83" spans="2:3" x14ac:dyDescent="0.3">
      <c r="B83" s="16" t="s">
        <v>72</v>
      </c>
      <c r="C83" s="17">
        <v>14.5</v>
      </c>
    </row>
    <row r="84" spans="2:3" x14ac:dyDescent="0.3">
      <c r="B84" s="16" t="s">
        <v>51</v>
      </c>
      <c r="C84" s="17">
        <v>10.333333333333334</v>
      </c>
    </row>
    <row r="85" spans="2:3" x14ac:dyDescent="0.3">
      <c r="B85" s="16" t="s">
        <v>22</v>
      </c>
      <c r="C85" s="17">
        <v>11</v>
      </c>
    </row>
    <row r="86" spans="2:3" x14ac:dyDescent="0.3">
      <c r="B86" s="16" t="s">
        <v>62</v>
      </c>
      <c r="C86" s="17">
        <v>12</v>
      </c>
    </row>
    <row r="87" spans="2:3" x14ac:dyDescent="0.3">
      <c r="B87" s="16" t="s">
        <v>91</v>
      </c>
      <c r="C87" s="17">
        <v>19</v>
      </c>
    </row>
    <row r="88" spans="2:3" x14ac:dyDescent="0.3">
      <c r="B88" s="16" t="s">
        <v>28</v>
      </c>
      <c r="C88" s="17">
        <v>17</v>
      </c>
    </row>
    <row r="89" spans="2:3" x14ac:dyDescent="0.3">
      <c r="B89" s="16" t="s">
        <v>47</v>
      </c>
      <c r="C89" s="17">
        <v>13</v>
      </c>
    </row>
    <row r="90" spans="2:3" x14ac:dyDescent="0.3">
      <c r="B90" s="16" t="s">
        <v>77</v>
      </c>
      <c r="C90" s="17">
        <v>9.5</v>
      </c>
    </row>
    <row r="91" spans="2:3" x14ac:dyDescent="0.3">
      <c r="B91" s="16" t="s">
        <v>85</v>
      </c>
      <c r="C91" s="17">
        <v>9.5</v>
      </c>
    </row>
    <row r="92" spans="2:3" x14ac:dyDescent="0.3">
      <c r="B92" s="16" t="s">
        <v>33</v>
      </c>
      <c r="C92" s="17">
        <v>13</v>
      </c>
    </row>
    <row r="93" spans="2:3" x14ac:dyDescent="0.3">
      <c r="B93" s="16" t="s">
        <v>17</v>
      </c>
      <c r="C93" s="17">
        <v>19</v>
      </c>
    </row>
    <row r="94" spans="2:3" x14ac:dyDescent="0.3">
      <c r="B94" s="16" t="s">
        <v>68</v>
      </c>
      <c r="C94" s="17">
        <v>14.5</v>
      </c>
    </row>
    <row r="95" spans="2:3" x14ac:dyDescent="0.3">
      <c r="B95" s="16" t="s">
        <v>31</v>
      </c>
      <c r="C95" s="17">
        <v>23</v>
      </c>
    </row>
    <row r="96" spans="2:3" x14ac:dyDescent="0.3">
      <c r="B96" s="16" t="s">
        <v>23</v>
      </c>
      <c r="C96" s="17">
        <v>26</v>
      </c>
    </row>
    <row r="97" spans="2:3" x14ac:dyDescent="0.3">
      <c r="B97" s="16" t="s">
        <v>65</v>
      </c>
      <c r="C97" s="17">
        <v>13.666666666666666</v>
      </c>
    </row>
    <row r="98" spans="2:3" x14ac:dyDescent="0.3">
      <c r="B98" s="16" t="s">
        <v>57</v>
      </c>
      <c r="C98" s="17">
        <v>19</v>
      </c>
    </row>
    <row r="99" spans="2:3" x14ac:dyDescent="0.3">
      <c r="B99" s="16" t="s">
        <v>70</v>
      </c>
      <c r="C99" s="17">
        <v>20</v>
      </c>
    </row>
    <row r="100" spans="2:3" x14ac:dyDescent="0.3">
      <c r="B100" s="16" t="s">
        <v>60</v>
      </c>
      <c r="C100" s="17">
        <v>16.333333333333332</v>
      </c>
    </row>
    <row r="101" spans="2:3" x14ac:dyDescent="0.3">
      <c r="B101" s="16" t="s">
        <v>74</v>
      </c>
      <c r="C101" s="17">
        <v>16</v>
      </c>
    </row>
    <row r="102" spans="2:3" x14ac:dyDescent="0.3">
      <c r="B102" s="16" t="s">
        <v>29</v>
      </c>
      <c r="C102" s="17">
        <v>9.5</v>
      </c>
    </row>
    <row r="103" spans="2:3" x14ac:dyDescent="0.3">
      <c r="B103" s="16" t="s">
        <v>36</v>
      </c>
      <c r="C103" s="17">
        <v>19</v>
      </c>
    </row>
    <row r="104" spans="2:3" x14ac:dyDescent="0.3">
      <c r="B104" s="16" t="s">
        <v>34</v>
      </c>
      <c r="C104" s="17">
        <v>15</v>
      </c>
    </row>
    <row r="105" spans="2:3" x14ac:dyDescent="0.3">
      <c r="B105" s="16" t="s">
        <v>73</v>
      </c>
      <c r="C105" s="17">
        <v>11</v>
      </c>
    </row>
    <row r="106" spans="2:3" x14ac:dyDescent="0.3">
      <c r="B106" s="16" t="s">
        <v>52</v>
      </c>
      <c r="C106" s="17">
        <v>18</v>
      </c>
    </row>
    <row r="107" spans="2:3" x14ac:dyDescent="0.3">
      <c r="B107" s="16" t="s">
        <v>18</v>
      </c>
      <c r="C107" s="17">
        <v>12</v>
      </c>
    </row>
    <row r="108" spans="2:3" x14ac:dyDescent="0.3">
      <c r="B108" s="16" t="s">
        <v>88</v>
      </c>
      <c r="C108" s="17">
        <v>16</v>
      </c>
    </row>
    <row r="109" spans="2:3" x14ac:dyDescent="0.3">
      <c r="B109" s="16" t="s">
        <v>24</v>
      </c>
      <c r="C109" s="17">
        <v>28</v>
      </c>
    </row>
    <row r="110" spans="2:3" x14ac:dyDescent="0.3">
      <c r="B110" s="16" t="s">
        <v>96</v>
      </c>
      <c r="C110" s="17">
        <v>13</v>
      </c>
    </row>
    <row r="111" spans="2:3" x14ac:dyDescent="0.3">
      <c r="B111" s="16" t="s">
        <v>63</v>
      </c>
      <c r="C111" s="17">
        <v>12</v>
      </c>
    </row>
    <row r="112" spans="2:3" x14ac:dyDescent="0.3">
      <c r="B112" s="16" t="s">
        <v>89</v>
      </c>
      <c r="C112" s="17">
        <v>10</v>
      </c>
    </row>
    <row r="113" spans="2:3" x14ac:dyDescent="0.3">
      <c r="B113" s="16" t="s">
        <v>48</v>
      </c>
      <c r="C113" s="17">
        <v>15</v>
      </c>
    </row>
    <row r="114" spans="2:3" x14ac:dyDescent="0.3">
      <c r="B114" s="16" t="s">
        <v>30</v>
      </c>
      <c r="C114" s="17">
        <v>14</v>
      </c>
    </row>
    <row r="115" spans="2:3" x14ac:dyDescent="0.3">
      <c r="B115" s="16" t="s">
        <v>84</v>
      </c>
      <c r="C115" s="17">
        <v>12</v>
      </c>
    </row>
    <row r="116" spans="2:3" x14ac:dyDescent="0.3">
      <c r="B116" s="16" t="s">
        <v>35</v>
      </c>
      <c r="C116" s="17">
        <v>21</v>
      </c>
    </row>
    <row r="117" spans="2:3" x14ac:dyDescent="0.3">
      <c r="B117" s="16" t="s">
        <v>69</v>
      </c>
      <c r="C117" s="17">
        <v>17.5</v>
      </c>
    </row>
    <row r="118" spans="2:3" x14ac:dyDescent="0.3">
      <c r="B118" s="16" t="s">
        <v>86</v>
      </c>
      <c r="C118" s="17">
        <v>15</v>
      </c>
    </row>
    <row r="119" spans="2:3" x14ac:dyDescent="0.3">
      <c r="B119" s="16" t="s">
        <v>80</v>
      </c>
      <c r="C119" s="17">
        <v>16.5</v>
      </c>
    </row>
    <row r="120" spans="2:3" x14ac:dyDescent="0.3">
      <c r="B120" s="16" t="s">
        <v>50</v>
      </c>
      <c r="C120" s="17">
        <v>20.5</v>
      </c>
    </row>
    <row r="121" spans="2:3" x14ac:dyDescent="0.3">
      <c r="B121" s="16" t="s">
        <v>66</v>
      </c>
      <c r="C121" s="17">
        <v>14</v>
      </c>
    </row>
    <row r="122" spans="2:3" x14ac:dyDescent="0.3">
      <c r="B122" s="16" t="s">
        <v>100</v>
      </c>
      <c r="C122" s="17">
        <v>15</v>
      </c>
    </row>
    <row r="123" spans="2:3" x14ac:dyDescent="0.3">
      <c r="B123" s="16" t="s">
        <v>46</v>
      </c>
      <c r="C123" s="17">
        <v>8</v>
      </c>
    </row>
    <row r="124" spans="2:3" x14ac:dyDescent="0.3">
      <c r="B124" s="16" t="s">
        <v>53</v>
      </c>
      <c r="C124" s="17">
        <v>10</v>
      </c>
    </row>
    <row r="125" spans="2:3" x14ac:dyDescent="0.3">
      <c r="B125" s="16" t="s">
        <v>78</v>
      </c>
      <c r="C125" s="17">
        <v>11</v>
      </c>
    </row>
    <row r="126" spans="2:3" x14ac:dyDescent="0.3">
      <c r="B126" s="16" t="s">
        <v>76</v>
      </c>
      <c r="C126" s="17">
        <v>14</v>
      </c>
    </row>
    <row r="127" spans="2:3" x14ac:dyDescent="0.3">
      <c r="B127" s="16" t="s">
        <v>99</v>
      </c>
      <c r="C127" s="17">
        <v>17</v>
      </c>
    </row>
    <row r="128" spans="2:3" x14ac:dyDescent="0.3">
      <c r="B128" s="16" t="s">
        <v>135</v>
      </c>
      <c r="C128" s="17">
        <v>14.43089430894309</v>
      </c>
    </row>
    <row r="131" spans="2:3" x14ac:dyDescent="0.3">
      <c r="B131" s="11" t="s">
        <v>107</v>
      </c>
    </row>
    <row r="133" spans="2:3" x14ac:dyDescent="0.3">
      <c r="B133" s="15" t="s">
        <v>134</v>
      </c>
      <c r="C133" t="s">
        <v>138</v>
      </c>
    </row>
    <row r="134" spans="2:3" x14ac:dyDescent="0.3">
      <c r="B134" s="16" t="s">
        <v>37</v>
      </c>
      <c r="C134" s="17">
        <v>12582</v>
      </c>
    </row>
    <row r="135" spans="2:3" x14ac:dyDescent="0.3">
      <c r="B135" s="20" t="s">
        <v>8</v>
      </c>
      <c r="C135" s="17">
        <v>12582</v>
      </c>
    </row>
    <row r="136" spans="2:3" x14ac:dyDescent="0.3">
      <c r="B136" s="16" t="s">
        <v>135</v>
      </c>
      <c r="C136" s="17">
        <v>12582</v>
      </c>
    </row>
    <row r="140" spans="2:3" x14ac:dyDescent="0.3">
      <c r="B140" s="11" t="s">
        <v>108</v>
      </c>
    </row>
    <row r="142" spans="2:3" x14ac:dyDescent="0.3">
      <c r="B142" s="15" t="s">
        <v>134</v>
      </c>
      <c r="C142" t="s">
        <v>138</v>
      </c>
    </row>
    <row r="143" spans="2:3" x14ac:dyDescent="0.3">
      <c r="B143" s="16" t="s">
        <v>20</v>
      </c>
      <c r="C143" s="17">
        <v>154314</v>
      </c>
    </row>
    <row r="144" spans="2:3" x14ac:dyDescent="0.3">
      <c r="B144" s="16" t="s">
        <v>135</v>
      </c>
      <c r="C144" s="17">
        <v>154314</v>
      </c>
    </row>
    <row r="149" spans="1:7" x14ac:dyDescent="0.3">
      <c r="A149">
        <v>10</v>
      </c>
      <c r="B149" s="15" t="s">
        <v>134</v>
      </c>
      <c r="C149" t="s">
        <v>152</v>
      </c>
      <c r="D149" t="s">
        <v>144</v>
      </c>
      <c r="G149" s="11" t="s">
        <v>109</v>
      </c>
    </row>
    <row r="150" spans="1:7" x14ac:dyDescent="0.3">
      <c r="B150" s="16" t="s">
        <v>41</v>
      </c>
      <c r="C150" s="17">
        <v>261.81818181818181</v>
      </c>
      <c r="D150" s="17">
        <v>149</v>
      </c>
    </row>
    <row r="151" spans="1:7" x14ac:dyDescent="0.3">
      <c r="B151" s="16" t="s">
        <v>49</v>
      </c>
      <c r="C151" s="17">
        <v>408</v>
      </c>
      <c r="D151" s="17">
        <v>199</v>
      </c>
    </row>
    <row r="152" spans="1:7" x14ac:dyDescent="0.3">
      <c r="B152" s="16" t="s">
        <v>26</v>
      </c>
      <c r="C152" s="17">
        <v>270.83333333333331</v>
      </c>
      <c r="D152" s="17">
        <v>159</v>
      </c>
    </row>
    <row r="153" spans="1:7" x14ac:dyDescent="0.3">
      <c r="B153" s="16" t="s">
        <v>14</v>
      </c>
      <c r="C153" s="17">
        <v>247.33333333333334</v>
      </c>
      <c r="D153" s="17">
        <v>159</v>
      </c>
    </row>
    <row r="154" spans="1:7" x14ac:dyDescent="0.3">
      <c r="B154" s="16" t="s">
        <v>20</v>
      </c>
      <c r="C154" s="17">
        <v>417.58333333333331</v>
      </c>
      <c r="D154" s="17">
        <v>212</v>
      </c>
    </row>
    <row r="155" spans="1:7" x14ac:dyDescent="0.3">
      <c r="B155" s="16" t="s">
        <v>59</v>
      </c>
      <c r="C155" s="17">
        <v>236.16666666666666</v>
      </c>
      <c r="D155" s="17">
        <v>166</v>
      </c>
    </row>
    <row r="156" spans="1:7" x14ac:dyDescent="0.3">
      <c r="B156" s="16" t="s">
        <v>37</v>
      </c>
      <c r="C156" s="17">
        <v>295.27272727272725</v>
      </c>
      <c r="D156" s="17">
        <v>142</v>
      </c>
    </row>
    <row r="157" spans="1:7" x14ac:dyDescent="0.3">
      <c r="B157" s="16" t="s">
        <v>32</v>
      </c>
      <c r="C157" s="17">
        <v>281.58333333333331</v>
      </c>
      <c r="D157" s="17">
        <v>166</v>
      </c>
    </row>
    <row r="158" spans="1:7" x14ac:dyDescent="0.3">
      <c r="B158" s="16" t="s">
        <v>7</v>
      </c>
      <c r="C158" s="17">
        <v>359.4</v>
      </c>
      <c r="D158" s="17">
        <v>83</v>
      </c>
    </row>
    <row r="159" spans="1:7" x14ac:dyDescent="0.3">
      <c r="B159" s="16" t="s">
        <v>54</v>
      </c>
      <c r="C159" s="17">
        <v>339.23076923076923</v>
      </c>
      <c r="D159" s="17">
        <v>200</v>
      </c>
    </row>
    <row r="160" spans="1:7" x14ac:dyDescent="0.3">
      <c r="B160" s="16" t="s">
        <v>45</v>
      </c>
      <c r="C160" s="17">
        <v>279.90909090909093</v>
      </c>
      <c r="D160" s="17">
        <v>140</v>
      </c>
    </row>
    <row r="161" spans="2:4" x14ac:dyDescent="0.3">
      <c r="B161" s="16" t="s">
        <v>135</v>
      </c>
      <c r="C161" s="17">
        <v>306.92682926829269</v>
      </c>
      <c r="D161" s="17">
        <v>1775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A2:D45"/>
  <sheetViews>
    <sheetView topLeftCell="A26" workbookViewId="0">
      <selection activeCell="F14" sqref="F14"/>
    </sheetView>
  </sheetViews>
  <sheetFormatPr defaultRowHeight="14.4" x14ac:dyDescent="0.3"/>
  <cols>
    <col min="2" max="2" width="12.5546875" bestFit="1" customWidth="1"/>
    <col min="3" max="3" width="26.6640625" bestFit="1" customWidth="1"/>
    <col min="4" max="4" width="14.44140625" bestFit="1" customWidth="1"/>
  </cols>
  <sheetData>
    <row r="2" spans="1:3" x14ac:dyDescent="0.3">
      <c r="B2" s="10" t="s">
        <v>101</v>
      </c>
    </row>
    <row r="4" spans="1:3" x14ac:dyDescent="0.3">
      <c r="A4">
        <v>2</v>
      </c>
      <c r="B4" t="s">
        <v>123</v>
      </c>
    </row>
    <row r="5" spans="1:3" x14ac:dyDescent="0.3">
      <c r="B5">
        <f>COUNTA(sales[Sr. No.])</f>
        <v>123</v>
      </c>
    </row>
    <row r="7" spans="1:3" x14ac:dyDescent="0.3">
      <c r="A7">
        <v>3</v>
      </c>
      <c r="B7" t="s">
        <v>124</v>
      </c>
    </row>
    <row r="9" spans="1:3" x14ac:dyDescent="0.3">
      <c r="B9" s="15" t="s">
        <v>134</v>
      </c>
      <c r="C9" t="s">
        <v>136</v>
      </c>
    </row>
    <row r="10" spans="1:3" x14ac:dyDescent="0.3">
      <c r="B10" s="16" t="s">
        <v>41</v>
      </c>
      <c r="C10" s="17">
        <v>11</v>
      </c>
    </row>
    <row r="11" spans="1:3" x14ac:dyDescent="0.3">
      <c r="B11" s="16" t="s">
        <v>49</v>
      </c>
      <c r="C11" s="17">
        <v>12</v>
      </c>
    </row>
    <row r="12" spans="1:3" x14ac:dyDescent="0.3">
      <c r="B12" s="16" t="s">
        <v>26</v>
      </c>
      <c r="C12" s="17">
        <v>12</v>
      </c>
    </row>
    <row r="13" spans="1:3" x14ac:dyDescent="0.3">
      <c r="B13" s="16" t="s">
        <v>14</v>
      </c>
      <c r="C13" s="17">
        <v>12</v>
      </c>
    </row>
    <row r="14" spans="1:3" x14ac:dyDescent="0.3">
      <c r="B14" s="16" t="s">
        <v>20</v>
      </c>
      <c r="C14" s="17">
        <v>12</v>
      </c>
    </row>
    <row r="15" spans="1:3" x14ac:dyDescent="0.3">
      <c r="B15" s="16" t="s">
        <v>59</v>
      </c>
      <c r="C15" s="17">
        <v>12</v>
      </c>
    </row>
    <row r="16" spans="1:3" x14ac:dyDescent="0.3">
      <c r="B16" s="16" t="s">
        <v>37</v>
      </c>
      <c r="C16" s="17">
        <v>11</v>
      </c>
    </row>
    <row r="17" spans="1:3" x14ac:dyDescent="0.3">
      <c r="B17" s="16" t="s">
        <v>32</v>
      </c>
      <c r="C17" s="17">
        <v>12</v>
      </c>
    </row>
    <row r="18" spans="1:3" x14ac:dyDescent="0.3">
      <c r="B18" s="16" t="s">
        <v>7</v>
      </c>
      <c r="C18" s="17">
        <v>5</v>
      </c>
    </row>
    <row r="19" spans="1:3" x14ac:dyDescent="0.3">
      <c r="B19" s="16" t="s">
        <v>54</v>
      </c>
      <c r="C19" s="17">
        <v>13</v>
      </c>
    </row>
    <row r="20" spans="1:3" x14ac:dyDescent="0.3">
      <c r="B20" s="16" t="s">
        <v>45</v>
      </c>
      <c r="C20" s="17">
        <v>11</v>
      </c>
    </row>
    <row r="21" spans="1:3" x14ac:dyDescent="0.3">
      <c r="B21" s="16" t="s">
        <v>135</v>
      </c>
      <c r="C21" s="17">
        <v>123</v>
      </c>
    </row>
    <row r="23" spans="1:3" x14ac:dyDescent="0.3">
      <c r="A23">
        <v>4</v>
      </c>
      <c r="B23" t="s">
        <v>125</v>
      </c>
    </row>
    <row r="25" spans="1:3" x14ac:dyDescent="0.3">
      <c r="B25" s="15" t="s">
        <v>134</v>
      </c>
      <c r="C25" t="s">
        <v>137</v>
      </c>
    </row>
    <row r="26" spans="1:3" x14ac:dyDescent="0.3">
      <c r="B26" s="18" t="s">
        <v>8</v>
      </c>
      <c r="C26" s="19">
        <v>31</v>
      </c>
    </row>
    <row r="27" spans="1:3" x14ac:dyDescent="0.3">
      <c r="B27" s="16" t="s">
        <v>135</v>
      </c>
      <c r="C27" s="17">
        <v>31</v>
      </c>
    </row>
    <row r="32" spans="1:3" x14ac:dyDescent="0.3">
      <c r="A32">
        <v>5</v>
      </c>
      <c r="B32" t="s">
        <v>140</v>
      </c>
    </row>
    <row r="34" spans="1:4" x14ac:dyDescent="0.3">
      <c r="B34" s="15" t="s">
        <v>134</v>
      </c>
      <c r="C34" t="s">
        <v>138</v>
      </c>
      <c r="D34" t="s">
        <v>136</v>
      </c>
    </row>
    <row r="35" spans="1:4" x14ac:dyDescent="0.3">
      <c r="B35" s="16" t="s">
        <v>27</v>
      </c>
      <c r="C35" s="17">
        <v>294042</v>
      </c>
      <c r="D35" s="17">
        <v>39</v>
      </c>
    </row>
    <row r="36" spans="1:4" x14ac:dyDescent="0.3">
      <c r="B36" s="16" t="s">
        <v>15</v>
      </c>
      <c r="C36" s="17">
        <v>128412</v>
      </c>
      <c r="D36" s="17">
        <v>21</v>
      </c>
    </row>
    <row r="37" spans="1:4" x14ac:dyDescent="0.3">
      <c r="B37" s="16" t="s">
        <v>8</v>
      </c>
      <c r="C37" s="17">
        <v>283310</v>
      </c>
      <c r="D37" s="17">
        <v>31</v>
      </c>
    </row>
    <row r="38" spans="1:4" x14ac:dyDescent="0.3">
      <c r="B38" s="16" t="s">
        <v>21</v>
      </c>
      <c r="C38" s="17">
        <v>290763</v>
      </c>
      <c r="D38" s="17">
        <v>32</v>
      </c>
    </row>
    <row r="39" spans="1:4" x14ac:dyDescent="0.3">
      <c r="B39" s="16" t="s">
        <v>135</v>
      </c>
      <c r="C39" s="17">
        <v>996527</v>
      </c>
      <c r="D39" s="17">
        <v>123</v>
      </c>
    </row>
    <row r="41" spans="1:4" x14ac:dyDescent="0.3">
      <c r="A41">
        <v>6</v>
      </c>
      <c r="B41" t="s">
        <v>126</v>
      </c>
    </row>
    <row r="43" spans="1:4" x14ac:dyDescent="0.3">
      <c r="B43" s="15" t="s">
        <v>134</v>
      </c>
      <c r="C43" t="s">
        <v>139</v>
      </c>
    </row>
    <row r="44" spans="1:4" x14ac:dyDescent="0.3">
      <c r="B44" s="16" t="s">
        <v>20</v>
      </c>
      <c r="C44" s="17">
        <v>25508</v>
      </c>
    </row>
    <row r="45" spans="1:4" x14ac:dyDescent="0.3">
      <c r="B45" s="16" t="s">
        <v>135</v>
      </c>
      <c r="C45" s="17">
        <v>25508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4F76-70D9-4F27-BAEB-A8E91BF941B7}">
  <dimension ref="B2:J89"/>
  <sheetViews>
    <sheetView tabSelected="1" topLeftCell="B3" workbookViewId="0">
      <selection activeCell="G94" sqref="G94"/>
    </sheetView>
  </sheetViews>
  <sheetFormatPr defaultRowHeight="14.4" x14ac:dyDescent="0.3"/>
  <cols>
    <col min="3" max="3" width="12.5546875" bestFit="1" customWidth="1"/>
    <col min="4" max="4" width="16.44140625" bestFit="1" customWidth="1"/>
    <col min="5" max="7" width="7" bestFit="1" customWidth="1"/>
    <col min="8" max="8" width="10.77734375" bestFit="1" customWidth="1"/>
  </cols>
  <sheetData>
    <row r="2" spans="2:4" x14ac:dyDescent="0.3">
      <c r="B2">
        <v>7</v>
      </c>
      <c r="C2" t="s">
        <v>127</v>
      </c>
    </row>
    <row r="4" spans="2:4" x14ac:dyDescent="0.3">
      <c r="C4" s="15" t="s">
        <v>134</v>
      </c>
      <c r="D4" t="s">
        <v>138</v>
      </c>
    </row>
    <row r="5" spans="2:4" x14ac:dyDescent="0.3">
      <c r="C5" s="16" t="s">
        <v>41</v>
      </c>
      <c r="D5" s="17">
        <v>71189</v>
      </c>
    </row>
    <row r="6" spans="2:4" x14ac:dyDescent="0.3">
      <c r="C6" s="16" t="s">
        <v>49</v>
      </c>
      <c r="D6" s="17">
        <v>144931</v>
      </c>
    </row>
    <row r="7" spans="2:4" x14ac:dyDescent="0.3">
      <c r="C7" s="16" t="s">
        <v>26</v>
      </c>
      <c r="D7" s="17">
        <v>84732</v>
      </c>
    </row>
    <row r="8" spans="2:4" x14ac:dyDescent="0.3">
      <c r="C8" s="16" t="s">
        <v>14</v>
      </c>
      <c r="D8" s="17">
        <v>67844</v>
      </c>
    </row>
    <row r="9" spans="2:4" x14ac:dyDescent="0.3">
      <c r="C9" s="16" t="s">
        <v>20</v>
      </c>
      <c r="D9" s="17">
        <v>154314</v>
      </c>
    </row>
    <row r="10" spans="2:4" x14ac:dyDescent="0.3">
      <c r="C10" s="16" t="s">
        <v>59</v>
      </c>
      <c r="D10" s="17">
        <v>68102</v>
      </c>
    </row>
    <row r="11" spans="2:4" x14ac:dyDescent="0.3">
      <c r="C11" s="16" t="s">
        <v>37</v>
      </c>
      <c r="D11" s="17">
        <v>80520</v>
      </c>
    </row>
    <row r="12" spans="2:4" x14ac:dyDescent="0.3">
      <c r="C12" s="16" t="s">
        <v>32</v>
      </c>
      <c r="D12" s="17">
        <v>82466</v>
      </c>
    </row>
    <row r="13" spans="2:4" x14ac:dyDescent="0.3">
      <c r="C13" s="16" t="s">
        <v>7</v>
      </c>
      <c r="D13" s="17">
        <v>51135</v>
      </c>
    </row>
    <row r="14" spans="2:4" x14ac:dyDescent="0.3">
      <c r="C14" s="16" t="s">
        <v>54</v>
      </c>
      <c r="D14" s="17">
        <v>121512</v>
      </c>
    </row>
    <row r="15" spans="2:4" x14ac:dyDescent="0.3">
      <c r="C15" s="16" t="s">
        <v>45</v>
      </c>
      <c r="D15" s="17">
        <v>69782</v>
      </c>
    </row>
    <row r="16" spans="2:4" x14ac:dyDescent="0.3">
      <c r="C16" s="16" t="s">
        <v>135</v>
      </c>
      <c r="D16" s="17">
        <v>996527</v>
      </c>
    </row>
    <row r="19" spans="2:4" x14ac:dyDescent="0.3">
      <c r="B19">
        <v>8</v>
      </c>
      <c r="C19" t="s">
        <v>128</v>
      </c>
    </row>
    <row r="21" spans="2:4" x14ac:dyDescent="0.3">
      <c r="C21" s="15" t="s">
        <v>134</v>
      </c>
      <c r="D21" t="s">
        <v>141</v>
      </c>
    </row>
    <row r="22" spans="2:4" x14ac:dyDescent="0.3">
      <c r="C22" s="16" t="s">
        <v>49</v>
      </c>
      <c r="D22" s="17">
        <v>27328</v>
      </c>
    </row>
    <row r="23" spans="2:4" x14ac:dyDescent="0.3">
      <c r="C23" s="16" t="s">
        <v>135</v>
      </c>
      <c r="D23" s="17">
        <v>27328</v>
      </c>
    </row>
    <row r="26" spans="2:4" x14ac:dyDescent="0.3">
      <c r="B26">
        <v>9</v>
      </c>
      <c r="C26" t="s">
        <v>129</v>
      </c>
    </row>
    <row r="28" spans="2:4" x14ac:dyDescent="0.3">
      <c r="C28" s="15" t="s">
        <v>134</v>
      </c>
      <c r="D28" t="s">
        <v>142</v>
      </c>
    </row>
    <row r="29" spans="2:4" x14ac:dyDescent="0.3">
      <c r="C29" s="16" t="s">
        <v>37</v>
      </c>
      <c r="D29" s="17">
        <v>945</v>
      </c>
    </row>
    <row r="30" spans="2:4" x14ac:dyDescent="0.3">
      <c r="C30" s="16" t="s">
        <v>135</v>
      </c>
      <c r="D30" s="17">
        <v>945</v>
      </c>
    </row>
    <row r="32" spans="2:4" x14ac:dyDescent="0.3">
      <c r="B32">
        <v>10</v>
      </c>
      <c r="C32" t="s">
        <v>130</v>
      </c>
    </row>
    <row r="34" spans="3:4" x14ac:dyDescent="0.3">
      <c r="C34" s="15" t="s">
        <v>134</v>
      </c>
      <c r="D34" t="s">
        <v>143</v>
      </c>
    </row>
    <row r="35" spans="3:4" x14ac:dyDescent="0.3">
      <c r="C35" s="16" t="s">
        <v>41</v>
      </c>
      <c r="D35" s="17">
        <v>6471.727272727273</v>
      </c>
    </row>
    <row r="36" spans="3:4" x14ac:dyDescent="0.3">
      <c r="C36" s="16" t="s">
        <v>49</v>
      </c>
      <c r="D36" s="17">
        <v>12077.583333333334</v>
      </c>
    </row>
    <row r="37" spans="3:4" x14ac:dyDescent="0.3">
      <c r="C37" s="16" t="s">
        <v>26</v>
      </c>
      <c r="D37" s="17">
        <v>7061</v>
      </c>
    </row>
    <row r="38" spans="3:4" x14ac:dyDescent="0.3">
      <c r="C38" s="16" t="s">
        <v>14</v>
      </c>
      <c r="D38" s="17">
        <v>5653.666666666667</v>
      </c>
    </row>
    <row r="39" spans="3:4" x14ac:dyDescent="0.3">
      <c r="C39" s="16" t="s">
        <v>20</v>
      </c>
      <c r="D39" s="17">
        <v>12859.5</v>
      </c>
    </row>
    <row r="40" spans="3:4" x14ac:dyDescent="0.3">
      <c r="C40" s="16" t="s">
        <v>59</v>
      </c>
      <c r="D40" s="17">
        <v>5675.166666666667</v>
      </c>
    </row>
    <row r="41" spans="3:4" x14ac:dyDescent="0.3">
      <c r="C41" s="16" t="s">
        <v>37</v>
      </c>
      <c r="D41" s="17">
        <v>7320</v>
      </c>
    </row>
    <row r="42" spans="3:4" x14ac:dyDescent="0.3">
      <c r="C42" s="16" t="s">
        <v>32</v>
      </c>
      <c r="D42" s="17">
        <v>6872.166666666667</v>
      </c>
    </row>
    <row r="43" spans="3:4" x14ac:dyDescent="0.3">
      <c r="C43" s="16" t="s">
        <v>7</v>
      </c>
      <c r="D43" s="17">
        <v>10227</v>
      </c>
    </row>
    <row r="44" spans="3:4" x14ac:dyDescent="0.3">
      <c r="C44" s="16" t="s">
        <v>54</v>
      </c>
      <c r="D44" s="17">
        <v>9347.0769230769238</v>
      </c>
    </row>
    <row r="45" spans="3:4" x14ac:dyDescent="0.3">
      <c r="C45" s="16" t="s">
        <v>45</v>
      </c>
      <c r="D45" s="17">
        <v>6343.818181818182</v>
      </c>
    </row>
    <row r="46" spans="3:4" x14ac:dyDescent="0.3">
      <c r="C46" s="16" t="s">
        <v>135</v>
      </c>
      <c r="D46" s="17">
        <v>8101.8455284552847</v>
      </c>
    </row>
    <row r="49" spans="2:4" x14ac:dyDescent="0.3">
      <c r="B49">
        <v>11</v>
      </c>
      <c r="C49" t="s">
        <v>131</v>
      </c>
    </row>
    <row r="51" spans="2:4" x14ac:dyDescent="0.3">
      <c r="C51" s="15" t="s">
        <v>134</v>
      </c>
      <c r="D51" t="s">
        <v>145</v>
      </c>
    </row>
    <row r="52" spans="2:4" x14ac:dyDescent="0.3">
      <c r="C52" s="16" t="s">
        <v>41</v>
      </c>
      <c r="D52" s="17">
        <v>25</v>
      </c>
    </row>
    <row r="53" spans="2:4" x14ac:dyDescent="0.3">
      <c r="C53" s="16" t="s">
        <v>49</v>
      </c>
      <c r="D53" s="17">
        <v>28</v>
      </c>
    </row>
    <row r="54" spans="2:4" x14ac:dyDescent="0.3">
      <c r="C54" s="16" t="s">
        <v>26</v>
      </c>
      <c r="D54" s="17">
        <v>23</v>
      </c>
    </row>
    <row r="55" spans="2:4" x14ac:dyDescent="0.3">
      <c r="C55" s="16" t="s">
        <v>14</v>
      </c>
      <c r="D55" s="17">
        <v>22</v>
      </c>
    </row>
    <row r="56" spans="2:4" x14ac:dyDescent="0.3">
      <c r="C56" s="16" t="s">
        <v>20</v>
      </c>
      <c r="D56" s="17">
        <v>28</v>
      </c>
    </row>
    <row r="57" spans="2:4" x14ac:dyDescent="0.3">
      <c r="C57" s="16" t="s">
        <v>59</v>
      </c>
      <c r="D57" s="17">
        <v>19</v>
      </c>
    </row>
    <row r="58" spans="2:4" x14ac:dyDescent="0.3">
      <c r="C58" s="16" t="s">
        <v>37</v>
      </c>
      <c r="D58" s="17">
        <v>20</v>
      </c>
    </row>
    <row r="59" spans="2:4" x14ac:dyDescent="0.3">
      <c r="C59" s="16" t="s">
        <v>32</v>
      </c>
      <c r="D59" s="17">
        <v>21</v>
      </c>
    </row>
    <row r="60" spans="2:4" x14ac:dyDescent="0.3">
      <c r="C60" s="16" t="s">
        <v>7</v>
      </c>
      <c r="D60" s="17">
        <v>20</v>
      </c>
    </row>
    <row r="61" spans="2:4" x14ac:dyDescent="0.3">
      <c r="C61" s="16" t="s">
        <v>54</v>
      </c>
      <c r="D61" s="17">
        <v>22</v>
      </c>
    </row>
    <row r="62" spans="2:4" x14ac:dyDescent="0.3">
      <c r="C62" s="16" t="s">
        <v>45</v>
      </c>
      <c r="D62" s="17">
        <v>18</v>
      </c>
    </row>
    <row r="63" spans="2:4" x14ac:dyDescent="0.3">
      <c r="C63" s="16" t="s">
        <v>135</v>
      </c>
      <c r="D63" s="17">
        <v>28</v>
      </c>
    </row>
    <row r="66" spans="2:10" x14ac:dyDescent="0.3">
      <c r="B66">
        <v>12</v>
      </c>
      <c r="C66" t="s">
        <v>132</v>
      </c>
    </row>
    <row r="68" spans="2:10" x14ac:dyDescent="0.3">
      <c r="C68" s="15" t="s">
        <v>138</v>
      </c>
      <c r="D68" s="15" t="s">
        <v>151</v>
      </c>
    </row>
    <row r="69" spans="2:10" x14ac:dyDescent="0.3">
      <c r="C69" s="15" t="s">
        <v>134</v>
      </c>
      <c r="D69" t="s">
        <v>27</v>
      </c>
      <c r="E69" t="s">
        <v>15</v>
      </c>
      <c r="F69" t="s">
        <v>8</v>
      </c>
      <c r="G69" t="s">
        <v>21</v>
      </c>
      <c r="H69" t="s">
        <v>135</v>
      </c>
      <c r="J69" t="s">
        <v>153</v>
      </c>
    </row>
    <row r="70" spans="2:10" x14ac:dyDescent="0.3">
      <c r="C70" s="16" t="s">
        <v>41</v>
      </c>
      <c r="D70" s="17">
        <v>13986</v>
      </c>
      <c r="E70" s="17">
        <v>3916</v>
      </c>
      <c r="F70" s="17">
        <v>16352</v>
      </c>
      <c r="G70" s="17">
        <v>36935</v>
      </c>
      <c r="H70" s="17">
        <v>71189</v>
      </c>
    </row>
    <row r="71" spans="2:10" x14ac:dyDescent="0.3">
      <c r="C71" s="16" t="s">
        <v>49</v>
      </c>
      <c r="D71" s="17">
        <v>21140</v>
      </c>
      <c r="E71" s="17">
        <v>1990</v>
      </c>
      <c r="F71" s="17">
        <v>110409</v>
      </c>
      <c r="G71" s="17">
        <v>11392</v>
      </c>
      <c r="H71" s="17">
        <v>144931</v>
      </c>
    </row>
    <row r="72" spans="2:10" x14ac:dyDescent="0.3">
      <c r="C72" s="16" t="s">
        <v>26</v>
      </c>
      <c r="D72" s="17">
        <v>50462</v>
      </c>
      <c r="E72" s="17"/>
      <c r="F72" s="17">
        <v>1143</v>
      </c>
      <c r="G72" s="17">
        <v>33127</v>
      </c>
      <c r="H72" s="17">
        <v>84732</v>
      </c>
    </row>
    <row r="73" spans="2:10" x14ac:dyDescent="0.3">
      <c r="C73" s="16" t="s">
        <v>14</v>
      </c>
      <c r="D73" s="17">
        <v>1683</v>
      </c>
      <c r="E73" s="17">
        <v>22026</v>
      </c>
      <c r="F73" s="17">
        <v>7574</v>
      </c>
      <c r="G73" s="17">
        <v>36561</v>
      </c>
      <c r="H73" s="17">
        <v>67844</v>
      </c>
    </row>
    <row r="74" spans="2:10" x14ac:dyDescent="0.3">
      <c r="C74" s="16" t="s">
        <v>20</v>
      </c>
      <c r="D74" s="17">
        <v>19780</v>
      </c>
      <c r="E74" s="17">
        <v>14688</v>
      </c>
      <c r="F74" s="17">
        <v>44297</v>
      </c>
      <c r="G74" s="17">
        <v>75549</v>
      </c>
      <c r="H74" s="17">
        <v>154314</v>
      </c>
    </row>
    <row r="75" spans="2:10" x14ac:dyDescent="0.3">
      <c r="C75" s="16" t="s">
        <v>59</v>
      </c>
      <c r="D75" s="17">
        <v>25040</v>
      </c>
      <c r="E75" s="17">
        <v>43062</v>
      </c>
      <c r="F75" s="17"/>
      <c r="G75" s="17"/>
      <c r="H75" s="17">
        <v>68102</v>
      </c>
    </row>
    <row r="76" spans="2:10" x14ac:dyDescent="0.3">
      <c r="C76" s="16" t="s">
        <v>37</v>
      </c>
      <c r="D76" s="17">
        <v>51036</v>
      </c>
      <c r="E76" s="17">
        <v>14672</v>
      </c>
      <c r="F76" s="17">
        <v>12582</v>
      </c>
      <c r="G76" s="17">
        <v>2230</v>
      </c>
      <c r="H76" s="17">
        <v>80520</v>
      </c>
    </row>
    <row r="77" spans="2:10" x14ac:dyDescent="0.3">
      <c r="C77" s="16" t="s">
        <v>32</v>
      </c>
      <c r="D77" s="17">
        <v>20819</v>
      </c>
      <c r="E77" s="17">
        <v>25178</v>
      </c>
      <c r="F77" s="17">
        <v>34239</v>
      </c>
      <c r="G77" s="17">
        <v>2230</v>
      </c>
      <c r="H77" s="17">
        <v>82466</v>
      </c>
    </row>
    <row r="78" spans="2:10" x14ac:dyDescent="0.3">
      <c r="C78" s="16" t="s">
        <v>7</v>
      </c>
      <c r="D78" s="17"/>
      <c r="E78" s="17"/>
      <c r="F78" s="17">
        <v>51135</v>
      </c>
      <c r="G78" s="17"/>
      <c r="H78" s="17">
        <v>51135</v>
      </c>
    </row>
    <row r="79" spans="2:10" x14ac:dyDescent="0.3">
      <c r="C79" s="16" t="s">
        <v>54</v>
      </c>
      <c r="D79" s="17">
        <v>46689</v>
      </c>
      <c r="E79" s="17"/>
      <c r="F79" s="17">
        <v>3905</v>
      </c>
      <c r="G79" s="17">
        <v>70918</v>
      </c>
      <c r="H79" s="17">
        <v>121512</v>
      </c>
    </row>
    <row r="80" spans="2:10" x14ac:dyDescent="0.3">
      <c r="C80" s="16" t="s">
        <v>45</v>
      </c>
      <c r="D80" s="17">
        <v>43407</v>
      </c>
      <c r="E80" s="17">
        <v>2880</v>
      </c>
      <c r="F80" s="17">
        <v>1674</v>
      </c>
      <c r="G80" s="17">
        <v>21821</v>
      </c>
      <c r="H80" s="17">
        <v>69782</v>
      </c>
    </row>
    <row r="81" spans="2:8" x14ac:dyDescent="0.3">
      <c r="C81" s="16" t="s">
        <v>135</v>
      </c>
      <c r="D81" s="17">
        <v>294042</v>
      </c>
      <c r="E81" s="17">
        <v>128412</v>
      </c>
      <c r="F81" s="17">
        <v>283310</v>
      </c>
      <c r="G81" s="17">
        <v>290763</v>
      </c>
      <c r="H81" s="17">
        <v>996527</v>
      </c>
    </row>
    <row r="84" spans="2:8" x14ac:dyDescent="0.3">
      <c r="C84" s="15" t="s">
        <v>2</v>
      </c>
      <c r="D84" t="s">
        <v>8</v>
      </c>
    </row>
    <row r="85" spans="2:8" x14ac:dyDescent="0.3">
      <c r="B85">
        <v>13</v>
      </c>
      <c r="C85" s="15" t="s">
        <v>3</v>
      </c>
      <c r="D85" t="s">
        <v>150</v>
      </c>
    </row>
    <row r="87" spans="2:8" x14ac:dyDescent="0.3">
      <c r="C87" s="15" t="s">
        <v>134</v>
      </c>
      <c r="D87" t="s">
        <v>138</v>
      </c>
      <c r="F87" t="s">
        <v>154</v>
      </c>
    </row>
    <row r="88" spans="2:8" x14ac:dyDescent="0.3">
      <c r="C88" s="16" t="s">
        <v>14</v>
      </c>
      <c r="D88" s="17">
        <v>7574</v>
      </c>
    </row>
    <row r="89" spans="2:8" x14ac:dyDescent="0.3">
      <c r="C89" s="16" t="s">
        <v>135</v>
      </c>
      <c r="D89" s="17">
        <v>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Case Study</vt:lpstr>
      <vt:lpstr>CasestudyQues</vt:lpstr>
      <vt:lpstr>Q1-Q6</vt:lpstr>
      <vt:lpstr>Q7-Q12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ANUSHREE KASHYAP</cp:lastModifiedBy>
  <dcterms:created xsi:type="dcterms:W3CDTF">2024-01-16T06:46:50Z</dcterms:created>
  <dcterms:modified xsi:type="dcterms:W3CDTF">2025-09-28T12:07:38Z</dcterms:modified>
</cp:coreProperties>
</file>