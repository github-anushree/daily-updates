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13_ncr:1_{6AFCDBDF-FADC-48D4-A824-E5C3D905E415}" xr6:coauthVersionLast="47" xr6:coauthVersionMax="47" xr10:uidLastSave="{00000000-0000-0000-0000-000000000000}"/>
  <bookViews>
    <workbookView xWindow="-108" yWindow="-108" windowWidth="23256" windowHeight="12456" firstSheet="16" activeTab="20" xr2:uid="{2D0AB955-433D-4C1A-9F5A-EB2B893F4467}"/>
  </bookViews>
  <sheets>
    <sheet name="Vlookup" sheetId="1" r:id="rId1"/>
    <sheet name="VlookupExactMatch" sheetId="2" r:id="rId2"/>
    <sheet name="VlookupApproximateMatch" sheetId="3" r:id="rId3"/>
    <sheet name="textfunc" sheetId="4" r:id="rId4"/>
    <sheet name="txtExtraction&amp;JoiningFunc" sheetId="5" r:id="rId5"/>
    <sheet name="Offset" sheetId="7" r:id="rId6"/>
    <sheet name="Index" sheetId="8" r:id="rId7"/>
    <sheet name="Index&amp;Match" sheetId="9" r:id="rId8"/>
    <sheet name="AggregationFunction" sheetId="10" r:id="rId9"/>
    <sheet name="PivotTable" sheetId="11" r:id="rId10"/>
    <sheet name="IfElseChooseFunc" sheetId="12" r:id="rId11"/>
    <sheet name="RemoveDuplicates" sheetId="13" r:id="rId12"/>
    <sheet name="arbor_excel_salesdatajunepo (2)" sheetId="16" r:id="rId13"/>
    <sheet name="AppendJune&amp;July" sheetId="17" r:id="rId14"/>
    <sheet name="arbor_excel_salesdatajulypowerq" sheetId="15" r:id="rId15"/>
    <sheet name="GetDataFromWeb" sheetId="20" r:id="rId16"/>
    <sheet name="powerquery" sheetId="21" r:id="rId17"/>
    <sheet name="powerpivot" sheetId="22" r:id="rId18"/>
    <sheet name="dashboard" sheetId="23" r:id="rId19"/>
    <sheet name="macro40records" sheetId="24" r:id="rId20"/>
    <sheet name="macrp20records" sheetId="25" r:id="rId21"/>
    <sheet name="macro20records" sheetId="26" r:id="rId22"/>
  </sheets>
  <definedNames>
    <definedName name="ExternalData_1" localSheetId="14" hidden="1">arbor_excel_salesdatajulypowerq!$A$1:$F$325</definedName>
    <definedName name="ExternalData_1" localSheetId="15" hidden="1">GetDataFromWeb!$A$1:$F$47</definedName>
    <definedName name="ExternalData_2" localSheetId="13" hidden="1">'AppendJune&amp;July'!$A$1:$F$649</definedName>
    <definedName name="ExternalData_2" localSheetId="12" hidden="1">'arbor_excel_salesdatajunepo (2)'!$A$1:$F$325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26" l="1"/>
  <c r="F23" i="26"/>
  <c r="D2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3" i="26"/>
  <c r="E23" i="24"/>
  <c r="F23" i="24"/>
  <c r="D23" i="24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3" i="24"/>
  <c r="E23" i="25"/>
  <c r="F23" i="25"/>
  <c r="D23" i="25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3" i="25"/>
  <c r="C15" i="12"/>
  <c r="D5" i="12"/>
  <c r="D6" i="12"/>
  <c r="D7" i="12"/>
  <c r="D8" i="12"/>
  <c r="D9" i="12"/>
  <c r="D4" i="12"/>
  <c r="A62" i="2"/>
  <c r="A59" i="2"/>
  <c r="A50" i="2"/>
  <c r="A47" i="2"/>
  <c r="A44" i="2"/>
  <c r="B41" i="2"/>
  <c r="A41" i="2"/>
  <c r="B38" i="2"/>
  <c r="A38" i="2"/>
  <c r="A32" i="2"/>
  <c r="A29" i="2"/>
  <c r="A23" i="2"/>
  <c r="A26" i="2"/>
  <c r="A20" i="2"/>
  <c r="H15" i="1"/>
  <c r="H14" i="1"/>
  <c r="H13" i="1"/>
  <c r="H12" i="1"/>
  <c r="H9" i="1"/>
  <c r="H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D4C5BD-53A3-4F01-832F-D4AE3C87AE5C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D28BB32D-4938-4418-BFA5-9823C8140301}" keepAlive="1" name="Query - arbor_excel_salesdatajulypowerquery" description="Connection to the 'arbor_excel_salesdatajulypowerquery' query in the workbook." type="5" refreshedVersion="8" background="1" saveData="1">
    <dbPr connection="Provider=Microsoft.Mashup.OleDb.1;Data Source=$Workbook$;Location=arbor_excel_salesdatajulypowerquery;Extended Properties=&quot;&quot;" command="SELECT * FROM [arbor_excel_salesdatajulypowerquery]"/>
  </connection>
  <connection id="3" xr16:uid="{D5AD9EEB-D88F-490E-BB6C-6779883DD499}" keepAlive="1" name="Query - arbor_excel_salesdatajunepowerquery (2)" description="Connection to the 'arbor_excel_salesdatajunepowerquery (2)' query in the workbook." type="5" refreshedVersion="8" background="1" saveData="1">
    <dbPr connection="Provider=Microsoft.Mashup.OleDb.1;Data Source=$Workbook$;Location=&quot;arbor_excel_salesdatajunepowerquery (2)&quot;;Extended Properties=&quot;&quot;" command="SELECT * FROM [arbor_excel_salesdatajunepowerquery (2)]"/>
  </connection>
  <connection id="4" xr16:uid="{34CB6E99-4093-4D36-9425-8445A141DBAE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<sst xmlns="http://schemas.openxmlformats.org/spreadsheetml/2006/main" count="3216" uniqueCount="1078">
  <si>
    <t>Order ID</t>
  </si>
  <si>
    <t>Customer Name</t>
  </si>
  <si>
    <t>Product Name</t>
  </si>
  <si>
    <t>Category</t>
  </si>
  <si>
    <t>Quantity</t>
  </si>
  <si>
    <t>Total Amount</t>
  </si>
  <si>
    <t>ORD001</t>
  </si>
  <si>
    <t>Amit Shah</t>
  </si>
  <si>
    <t>Sugar</t>
  </si>
  <si>
    <t>Grocery</t>
  </si>
  <si>
    <t>ORD002</t>
  </si>
  <si>
    <t>Neha Singh</t>
  </si>
  <si>
    <t>Soap</t>
  </si>
  <si>
    <t>Personal Care</t>
  </si>
  <si>
    <t>ORD003</t>
  </si>
  <si>
    <t>Anjali Mehta</t>
  </si>
  <si>
    <t>Notebook</t>
  </si>
  <si>
    <t>Stationery</t>
  </si>
  <si>
    <t>ORD004</t>
  </si>
  <si>
    <t>Rohit Verma</t>
  </si>
  <si>
    <t>Rice</t>
  </si>
  <si>
    <t>ORD005</t>
  </si>
  <si>
    <t>Sneha Kapoor</t>
  </si>
  <si>
    <t>Detergent</t>
  </si>
  <si>
    <t>Household</t>
  </si>
  <si>
    <t>ORD006</t>
  </si>
  <si>
    <t>Suresh Kumar</t>
  </si>
  <si>
    <t>Toothpaste</t>
  </si>
  <si>
    <t>ORD007</t>
  </si>
  <si>
    <t>Vikas Yadav</t>
  </si>
  <si>
    <t>Milk</t>
  </si>
  <si>
    <t>Dairy</t>
  </si>
  <si>
    <t>ORD008</t>
  </si>
  <si>
    <t>Kiran Das</t>
  </si>
  <si>
    <t>Oil</t>
  </si>
  <si>
    <t>ORD009</t>
  </si>
  <si>
    <t>Ravi Patil</t>
  </si>
  <si>
    <t>Pen</t>
  </si>
  <si>
    <t>ORD010</t>
  </si>
  <si>
    <t>Priya Iyer</t>
  </si>
  <si>
    <t>Shampoo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</si>
  <si>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</si>
  <si>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</si>
  <si>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</si>
  <si>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</si>
  <si>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</si>
  <si>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</si>
  <si>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</si>
  <si>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</si>
  <si>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</si>
  <si>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</si>
  <si>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Vloolup</t>
  </si>
  <si>
    <t>What is total price of a customer whose order id is ORD006?</t>
  </si>
  <si>
    <t>How many quantity Neha Singh Ordered?(If name "Neha Singh" appears twice, then result will shown for first)</t>
  </si>
  <si>
    <t>quantity</t>
  </si>
  <si>
    <t>total amount</t>
  </si>
  <si>
    <t>category</t>
  </si>
  <si>
    <t>product name</t>
  </si>
  <si>
    <t>I want quantity, category, product name and total price of customer, whose name is Sneha Kapoor?</t>
  </si>
  <si>
    <t>EmpID</t>
  </si>
  <si>
    <t>Name</t>
  </si>
  <si>
    <t>Department</t>
  </si>
  <si>
    <t>JobTitle</t>
  </si>
  <si>
    <t>Salary</t>
  </si>
  <si>
    <t>JoinDate</t>
  </si>
  <si>
    <t>City</t>
  </si>
  <si>
    <t>Ananya Singh</t>
  </si>
  <si>
    <t>HR</t>
  </si>
  <si>
    <t>HR Executive</t>
  </si>
  <si>
    <t>Delhi</t>
  </si>
  <si>
    <t>Rohan Mehta</t>
  </si>
  <si>
    <t>Finance</t>
  </si>
  <si>
    <t>Accountant</t>
  </si>
  <si>
    <t>Mumbai</t>
  </si>
  <si>
    <t>Priya Sharma</t>
  </si>
  <si>
    <t>IT</t>
  </si>
  <si>
    <t>Data Analyst</t>
  </si>
  <si>
    <t>Bangalore</t>
  </si>
  <si>
    <t>Karan Verma</t>
  </si>
  <si>
    <t>Software Engineer</t>
  </si>
  <si>
    <t>Pune</t>
  </si>
  <si>
    <t>Meera Gupta</t>
  </si>
  <si>
    <t>Marketing</t>
  </si>
  <si>
    <t>Marketing Manager</t>
  </si>
  <si>
    <t>Arjun Nair</t>
  </si>
  <si>
    <t>Sales</t>
  </si>
  <si>
    <t>Sales Executive</t>
  </si>
  <si>
    <t>Chennai</t>
  </si>
  <si>
    <t>Sneha Iyer</t>
  </si>
  <si>
    <t>Financial Analyst</t>
  </si>
  <si>
    <t>Hyderabad</t>
  </si>
  <si>
    <t>Devansh Roy</t>
  </si>
  <si>
    <t>Data Engineer</t>
  </si>
  <si>
    <t>Kolkata</t>
  </si>
  <si>
    <t>Kavya Jain</t>
  </si>
  <si>
    <t>HR Manager</t>
  </si>
  <si>
    <t>Aman Tiwari</t>
  </si>
  <si>
    <t>Sales Manager</t>
  </si>
  <si>
    <t>🔹 Easy (Basics)</t>
  </si>
  <si>
    <r>
      <t xml:space="preserve">1. Find the </t>
    </r>
    <r>
      <rPr>
        <b/>
        <sz val="10"/>
        <color theme="1"/>
        <rFont val="Calibri"/>
        <family val="2"/>
        <scheme val="minor"/>
      </rPr>
      <t>Department</t>
    </r>
    <r>
      <rPr>
        <sz val="10"/>
        <color theme="1"/>
        <rFont val="Calibri"/>
        <family val="2"/>
        <scheme val="minor"/>
      </rPr>
      <t xml:space="preserve"> of employee with </t>
    </r>
    <r>
      <rPr>
        <sz val="10"/>
        <color theme="1"/>
        <rFont val="Arial Unicode MS"/>
      </rPr>
      <t>EmpID = 103</t>
    </r>
    <r>
      <rPr>
        <sz val="10"/>
        <color theme="1"/>
        <rFont val="Calibri"/>
        <family val="2"/>
        <scheme val="minor"/>
      </rPr>
      <t>.</t>
    </r>
  </si>
  <si>
    <r>
      <t xml:space="preserve">2. Find the </t>
    </r>
    <r>
      <rPr>
        <b/>
        <sz val="10"/>
        <color theme="1"/>
        <rFont val="Calibri"/>
        <family val="2"/>
        <scheme val="minor"/>
      </rPr>
      <t>Salary</t>
    </r>
    <r>
      <rPr>
        <sz val="10"/>
        <color theme="1"/>
        <rFont val="Calibri"/>
        <family val="2"/>
        <scheme val="minor"/>
      </rPr>
      <t xml:space="preserve"> of </t>
    </r>
    <r>
      <rPr>
        <sz val="10"/>
        <color theme="1"/>
        <rFont val="Arial Unicode MS"/>
      </rPr>
      <t>Rohan Mehta</t>
    </r>
    <r>
      <rPr>
        <sz val="10"/>
        <color theme="1"/>
        <rFont val="Calibri"/>
        <family val="2"/>
        <scheme val="minor"/>
      </rPr>
      <t>.</t>
    </r>
  </si>
  <si>
    <r>
      <t xml:space="preserve">3. Retrieve the </t>
    </r>
    <r>
      <rPr>
        <b/>
        <sz val="10"/>
        <color theme="1"/>
        <rFont val="Calibri"/>
        <family val="2"/>
        <scheme val="minor"/>
      </rPr>
      <t>Job Title</t>
    </r>
    <r>
      <rPr>
        <sz val="10"/>
        <color theme="1"/>
        <rFont val="Calibri"/>
        <family val="2"/>
        <scheme val="minor"/>
      </rPr>
      <t xml:space="preserve"> of </t>
    </r>
    <r>
      <rPr>
        <sz val="10"/>
        <color theme="1"/>
        <rFont val="Arial Unicode MS"/>
      </rPr>
      <t>EmpID = 105</t>
    </r>
    <r>
      <rPr>
        <sz val="10"/>
        <color theme="1"/>
        <rFont val="Calibri"/>
        <family val="2"/>
        <scheme val="minor"/>
      </rPr>
      <t>.</t>
    </r>
  </si>
  <si>
    <r>
      <t xml:space="preserve">4. Look up the </t>
    </r>
    <r>
      <rPr>
        <b/>
        <sz val="10"/>
        <color theme="1"/>
        <rFont val="Calibri"/>
        <family val="2"/>
        <scheme val="minor"/>
      </rPr>
      <t>Join Date</t>
    </r>
    <r>
      <rPr>
        <sz val="10"/>
        <color theme="1"/>
        <rFont val="Calibri"/>
        <family val="2"/>
        <scheme val="minor"/>
      </rPr>
      <t xml:space="preserve"> of </t>
    </r>
    <r>
      <rPr>
        <sz val="10"/>
        <color theme="1"/>
        <rFont val="Arial Unicode MS"/>
      </rPr>
      <t>Aman Tiwari</t>
    </r>
    <r>
      <rPr>
        <sz val="10"/>
        <color theme="1"/>
        <rFont val="Calibri"/>
        <family val="2"/>
        <scheme val="minor"/>
      </rPr>
      <t>.</t>
    </r>
  </si>
  <si>
    <r>
      <t xml:space="preserve">5. Find the </t>
    </r>
    <r>
      <rPr>
        <b/>
        <sz val="10"/>
        <color theme="1"/>
        <rFont val="Calibri"/>
        <family val="2"/>
        <scheme val="minor"/>
      </rPr>
      <t>City</t>
    </r>
    <r>
      <rPr>
        <sz val="10"/>
        <color theme="1"/>
        <rFont val="Calibri"/>
        <family val="2"/>
        <scheme val="minor"/>
      </rPr>
      <t xml:space="preserve"> where </t>
    </r>
    <r>
      <rPr>
        <sz val="10"/>
        <color theme="1"/>
        <rFont val="Arial Unicode MS"/>
      </rPr>
      <t>Priya Sharma</t>
    </r>
    <r>
      <rPr>
        <sz val="10"/>
        <color theme="1"/>
        <rFont val="Calibri"/>
        <family val="2"/>
        <scheme val="minor"/>
      </rPr>
      <t xml:space="preserve"> works.</t>
    </r>
  </si>
  <si>
    <t>🔹 Medium (Applied Lookups)</t>
  </si>
  <si>
    <r>
      <t xml:space="preserve">6. Given an EmpID (user input), return the </t>
    </r>
    <r>
      <rPr>
        <b/>
        <sz val="11"/>
        <color theme="1"/>
        <rFont val="Calibri"/>
        <family val="2"/>
        <scheme val="minor"/>
      </rPr>
      <t>Employee Name and Salary</t>
    </r>
    <r>
      <rPr>
        <sz val="11"/>
        <color theme="1"/>
        <rFont val="Calibri"/>
        <family val="2"/>
        <scheme val="minor"/>
      </rPr>
      <t>.</t>
    </r>
  </si>
  <si>
    <r>
      <t xml:space="preserve">7. Find the </t>
    </r>
    <r>
      <rPr>
        <b/>
        <sz val="11"/>
        <color theme="1"/>
        <rFont val="Calibri"/>
        <family val="2"/>
        <scheme val="minor"/>
      </rPr>
      <t>Department and JobTitle</t>
    </r>
    <r>
      <rPr>
        <sz val="11"/>
        <color theme="1"/>
        <rFont val="Calibri"/>
        <family val="2"/>
        <scheme val="minor"/>
      </rPr>
      <t xml:space="preserve"> of employee </t>
    </r>
    <r>
      <rPr>
        <sz val="10"/>
        <color theme="1"/>
        <rFont val="Arial Unicode MS"/>
      </rPr>
      <t>EmpID = 108</t>
    </r>
    <r>
      <rPr>
        <sz val="11"/>
        <color theme="1"/>
        <rFont val="Calibri"/>
        <family val="2"/>
        <scheme val="minor"/>
      </rPr>
      <t>.</t>
    </r>
  </si>
  <si>
    <r>
      <t xml:space="preserve">8. Create a VLOOKUP to return the </t>
    </r>
    <r>
      <rPr>
        <b/>
        <sz val="11"/>
        <color theme="1"/>
        <rFont val="Calibri"/>
        <family val="2"/>
        <scheme val="minor"/>
      </rPr>
      <t>Join Date</t>
    </r>
    <r>
      <rPr>
        <sz val="11"/>
        <color theme="1"/>
        <rFont val="Calibri"/>
        <family val="2"/>
        <scheme val="minor"/>
      </rPr>
      <t xml:space="preserve"> for </t>
    </r>
    <r>
      <rPr>
        <sz val="10"/>
        <color theme="1"/>
        <rFont val="Arial Unicode MS"/>
      </rPr>
      <t>Meera Gupta</t>
    </r>
    <r>
      <rPr>
        <sz val="11"/>
        <color theme="1"/>
        <rFont val="Calibri"/>
        <family val="2"/>
        <scheme val="minor"/>
      </rPr>
      <t>.</t>
    </r>
  </si>
  <si>
    <r>
      <t xml:space="preserve">9. Use VLOOKUP to find the </t>
    </r>
    <r>
      <rPr>
        <b/>
        <sz val="11"/>
        <color theme="1"/>
        <rFont val="Calibri"/>
        <family val="2"/>
        <scheme val="minor"/>
      </rPr>
      <t>Salary of Sales Manager</t>
    </r>
    <r>
      <rPr>
        <sz val="11"/>
        <color theme="1"/>
        <rFont val="Calibri"/>
        <family val="2"/>
        <scheme val="minor"/>
      </rPr>
      <t xml:space="preserve"> (hint: search by JobTitle).</t>
    </r>
  </si>
  <si>
    <r>
      <t xml:space="preserve">10. Use VLOOKUP to return the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of </t>
    </r>
    <r>
      <rPr>
        <sz val="10"/>
        <color theme="1"/>
        <rFont val="Arial Unicode MS"/>
      </rPr>
      <t>EmpID = 109</t>
    </r>
    <r>
      <rPr>
        <sz val="11"/>
        <color theme="1"/>
        <rFont val="Calibri"/>
        <family val="2"/>
        <scheme val="minor"/>
      </rPr>
      <t>.</t>
    </r>
  </si>
  <si>
    <t>🔹 Hard (Analyst-style Lookups)</t>
  </si>
  <si>
    <r>
      <t xml:space="preserve">11. Write a VLOOKUP formula that retrieves the </t>
    </r>
    <r>
      <rPr>
        <b/>
        <sz val="11"/>
        <color theme="1"/>
        <rFont val="Calibri"/>
        <family val="2"/>
        <scheme val="minor"/>
      </rPr>
      <t>highest salary employee’s JobTitle</t>
    </r>
    <r>
      <rPr>
        <sz val="11"/>
        <color theme="1"/>
        <rFont val="Calibri"/>
        <family val="2"/>
        <scheme val="minor"/>
      </rPr>
      <t xml:space="preserve"> (tip: use MAX + VLOOKUP combo).</t>
    </r>
  </si>
  <si>
    <r>
      <t xml:space="preserve">12. Find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who joined on </t>
    </r>
    <r>
      <rPr>
        <sz val="10"/>
        <color theme="1"/>
        <rFont val="Arial Unicode MS"/>
      </rPr>
      <t>2021-09-12</t>
    </r>
    <r>
      <rPr>
        <sz val="11"/>
        <color theme="1"/>
        <rFont val="Calibri"/>
        <family val="2"/>
        <scheme val="minor"/>
      </rPr>
      <t>.</t>
    </r>
  </si>
  <si>
    <r>
      <t xml:space="preserve">13. Using VLOOKUP, get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of the employee with salary = </t>
    </r>
    <r>
      <rPr>
        <sz val="10"/>
        <color theme="1"/>
        <rFont val="Arial Unicode MS"/>
      </rPr>
      <t>62000</t>
    </r>
    <r>
      <rPr>
        <sz val="11"/>
        <color theme="1"/>
        <rFont val="Calibri"/>
        <family val="2"/>
        <scheme val="minor"/>
      </rPr>
      <t>.</t>
    </r>
  </si>
  <si>
    <r>
      <t xml:space="preserve">14. Create a formula that retrieves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if you only know the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= </t>
    </r>
    <r>
      <rPr>
        <sz val="10"/>
        <color theme="1"/>
        <rFont val="Arial Unicode MS"/>
      </rPr>
      <t>Delhi</t>
    </r>
    <r>
      <rPr>
        <sz val="11"/>
        <color theme="1"/>
        <rFont val="Calibri"/>
        <family val="2"/>
        <scheme val="minor"/>
      </rPr>
      <t xml:space="preserve"> and EmpID = 101.</t>
    </r>
  </si>
  <si>
    <r>
      <t xml:space="preserve">15. Find the </t>
    </r>
    <r>
      <rPr>
        <b/>
        <sz val="11"/>
        <color theme="1"/>
        <rFont val="Calibri"/>
        <family val="2"/>
        <scheme val="minor"/>
      </rPr>
      <t>Join Date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HR Manager</t>
    </r>
    <r>
      <rPr>
        <sz val="11"/>
        <color theme="1"/>
        <rFont val="Calibri"/>
        <family val="2"/>
        <scheme val="minor"/>
      </rPr>
      <t>.</t>
    </r>
  </si>
  <si>
    <r>
      <t xml:space="preserve">16. Using VLOOKUP + MATCH, return the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of </t>
    </r>
    <r>
      <rPr>
        <sz val="10"/>
        <color theme="1"/>
        <rFont val="Arial Unicode MS"/>
      </rPr>
      <t>EmpID = 106</t>
    </r>
    <r>
      <rPr>
        <sz val="11"/>
        <color theme="1"/>
        <rFont val="Calibri"/>
        <family val="2"/>
        <scheme val="minor"/>
      </rPr>
      <t>.</t>
    </r>
  </si>
  <si>
    <r>
      <t xml:space="preserve">17. Retrieve the </t>
    </r>
    <r>
      <rPr>
        <b/>
        <sz val="11"/>
        <color theme="1"/>
        <rFont val="Calibri"/>
        <family val="2"/>
        <scheme val="minor"/>
      </rPr>
      <t>Name of employee with Salary just below 70000</t>
    </r>
    <r>
      <rPr>
        <sz val="11"/>
        <color theme="1"/>
        <rFont val="Calibri"/>
        <family val="2"/>
        <scheme val="minor"/>
      </rPr>
      <t xml:space="preserve"> (nested VLOOKUP with LARGE/SMALL).</t>
    </r>
  </si>
  <si>
    <r>
      <t xml:space="preserve">18. Write a formula to return both </t>
    </r>
    <r>
      <rPr>
        <b/>
        <sz val="11"/>
        <color theme="1"/>
        <rFont val="Calibri"/>
        <family val="2"/>
        <scheme val="minor"/>
      </rPr>
      <t>JobTitle &amp; Department</t>
    </r>
    <r>
      <rPr>
        <sz val="11"/>
        <color theme="1"/>
        <rFont val="Calibri"/>
        <family val="2"/>
        <scheme val="minor"/>
      </rPr>
      <t xml:space="preserve"> of </t>
    </r>
    <r>
      <rPr>
        <sz val="10"/>
        <color theme="1"/>
        <rFont val="Arial Unicode MS"/>
      </rPr>
      <t>EmpID = 104</t>
    </r>
    <r>
      <rPr>
        <sz val="11"/>
        <color theme="1"/>
        <rFont val="Calibri"/>
        <family val="2"/>
        <scheme val="minor"/>
      </rPr>
      <t xml:space="preserve"> in one cell (concatenate).</t>
    </r>
  </si>
  <si>
    <r>
      <t xml:space="preserve">19. Using a helper cell for input, create a formula where user types </t>
    </r>
    <r>
      <rPr>
        <b/>
        <sz val="11"/>
        <color theme="1"/>
        <rFont val="Calibri"/>
        <family val="2"/>
        <scheme val="minor"/>
      </rPr>
      <t>Employee Name</t>
    </r>
    <r>
      <rPr>
        <sz val="11"/>
        <color theme="1"/>
        <rFont val="Calibri"/>
        <family val="2"/>
        <scheme val="minor"/>
      </rPr>
      <t xml:space="preserve"> and VLOOKUP returns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>.</t>
    </r>
  </si>
  <si>
    <r>
      <t xml:space="preserve">20. Perform a VLOOKUP that retrieves the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of the employee with the earliest </t>
    </r>
    <r>
      <rPr>
        <sz val="10"/>
        <color theme="1"/>
        <rFont val="Arial Unicode MS"/>
      </rPr>
      <t>JoinDate</t>
    </r>
    <r>
      <rPr>
        <sz val="11"/>
        <color theme="1"/>
        <rFont val="Calibri"/>
        <family val="2"/>
        <scheme val="minor"/>
      </rPr>
      <t>.</t>
    </r>
  </si>
  <si>
    <r>
      <t xml:space="preserve">let’s practice </t>
    </r>
    <r>
      <rPr>
        <b/>
        <sz val="11"/>
        <color theme="1"/>
        <rFont val="Calibri"/>
        <family val="2"/>
        <scheme val="minor"/>
      </rPr>
      <t>VLOOKUP with Approximate Match (</t>
    </r>
    <r>
      <rPr>
        <b/>
        <sz val="10"/>
        <color theme="1"/>
        <rFont val="Arial Unicode MS"/>
      </rPr>
      <t>TRUE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>.</t>
    </r>
  </si>
  <si>
    <t>Approximate match is usually applied in:</t>
  </si>
  <si>
    <r>
      <t>Grading systems</t>
    </r>
    <r>
      <rPr>
        <sz val="11"/>
        <color theme="1"/>
        <rFont val="Calibri"/>
        <family val="2"/>
        <scheme val="minor"/>
      </rPr>
      <t xml:space="preserve"> (marks → grade)</t>
    </r>
  </si>
  <si>
    <t>Commission / bonus slabs</t>
  </si>
  <si>
    <t>Tax brackets</t>
  </si>
  <si>
    <t>Categorization (ranges)</t>
  </si>
  <si>
    <t>📊 Dummy Dataset 2 (Salary Slabs &amp; Bonus)</t>
  </si>
  <si>
    <t>MinSalary</t>
  </si>
  <si>
    <t>Bonus%</t>
  </si>
  <si>
    <t>✅ Approximate Match Questions (VLOOKUP with TRUE)</t>
  </si>
  <si>
    <t>🔹 Easy</t>
  </si>
  <si>
    <r>
      <t xml:space="preserve">1. If an employee earns </t>
    </r>
    <r>
      <rPr>
        <b/>
        <sz val="11"/>
        <color theme="1"/>
        <rFont val="Calibri"/>
        <family val="2"/>
        <scheme val="minor"/>
      </rPr>
      <t>₹42,000</t>
    </r>
    <r>
      <rPr>
        <sz val="11"/>
        <color theme="1"/>
        <rFont val="Calibri"/>
        <family val="2"/>
        <scheme val="minor"/>
      </rPr>
      <t xml:space="preserve">, find their </t>
    </r>
    <r>
      <rPr>
        <b/>
        <sz val="11"/>
        <color theme="1"/>
        <rFont val="Calibri"/>
        <family val="2"/>
        <scheme val="minor"/>
      </rPr>
      <t>Bonus %</t>
    </r>
    <r>
      <rPr>
        <sz val="11"/>
        <color theme="1"/>
        <rFont val="Calibri"/>
        <family val="2"/>
        <scheme val="minor"/>
      </rPr>
      <t>.</t>
    </r>
  </si>
  <si>
    <r>
      <t xml:space="preserve">2. If salary is </t>
    </r>
    <r>
      <rPr>
        <b/>
        <sz val="11"/>
        <color theme="1"/>
        <rFont val="Calibri"/>
        <family val="2"/>
        <scheme val="minor"/>
      </rPr>
      <t>₹59,000</t>
    </r>
    <r>
      <rPr>
        <sz val="11"/>
        <color theme="1"/>
        <rFont val="Calibri"/>
        <family val="2"/>
        <scheme val="minor"/>
      </rPr>
      <t>, return the Bonus %.</t>
    </r>
  </si>
  <si>
    <r>
      <t xml:space="preserve">3. What is the </t>
    </r>
    <r>
      <rPr>
        <b/>
        <sz val="11"/>
        <color theme="1"/>
        <rFont val="Calibri"/>
        <family val="2"/>
        <scheme val="minor"/>
      </rPr>
      <t>Bonus %</t>
    </r>
    <r>
      <rPr>
        <sz val="11"/>
        <color theme="1"/>
        <rFont val="Calibri"/>
        <family val="2"/>
        <scheme val="minor"/>
      </rPr>
      <t xml:space="preserve"> for someone earning exactly </t>
    </r>
    <r>
      <rPr>
        <b/>
        <sz val="11"/>
        <color theme="1"/>
        <rFont val="Calibri"/>
        <family val="2"/>
        <scheme val="minor"/>
      </rPr>
      <t>₹70,000</t>
    </r>
    <r>
      <rPr>
        <sz val="11"/>
        <color theme="1"/>
        <rFont val="Calibri"/>
        <family val="2"/>
        <scheme val="minor"/>
      </rPr>
      <t>?</t>
    </r>
  </si>
  <si>
    <r>
      <t xml:space="preserve">4. Use VLOOKUP to find the </t>
    </r>
    <r>
      <rPr>
        <b/>
        <sz val="11"/>
        <color theme="1"/>
        <rFont val="Calibri"/>
        <family val="2"/>
        <scheme val="minor"/>
      </rPr>
      <t>Bonus %</t>
    </r>
    <r>
      <rPr>
        <sz val="11"/>
        <color theme="1"/>
        <rFont val="Calibri"/>
        <family val="2"/>
        <scheme val="minor"/>
      </rPr>
      <t xml:space="preserve"> for ₹38,000 (below first slab).</t>
    </r>
  </si>
  <si>
    <r>
      <t xml:space="preserve">5. Find the Bonus % for salary = </t>
    </r>
    <r>
      <rPr>
        <b/>
        <sz val="11"/>
        <color theme="1"/>
        <rFont val="Calibri"/>
        <family val="2"/>
        <scheme val="minor"/>
      </rPr>
      <t>₹62,500</t>
    </r>
    <r>
      <rPr>
        <sz val="11"/>
        <color theme="1"/>
        <rFont val="Calibri"/>
        <family val="2"/>
        <scheme val="minor"/>
      </rPr>
      <t>.</t>
    </r>
  </si>
  <si>
    <t>🔹 Medium</t>
  </si>
  <si>
    <r>
      <t xml:space="preserve">6. Calculate the </t>
    </r>
    <r>
      <rPr>
        <b/>
        <sz val="11"/>
        <color theme="1"/>
        <rFont val="Calibri"/>
        <family val="2"/>
        <scheme val="minor"/>
      </rPr>
      <t>Bonus Amount</t>
    </r>
    <r>
      <rPr>
        <sz val="11"/>
        <color theme="1"/>
        <rFont val="Calibri"/>
        <family val="2"/>
        <scheme val="minor"/>
      </rPr>
      <t xml:space="preserve"> for employee with salary = </t>
    </r>
    <r>
      <rPr>
        <b/>
        <sz val="11"/>
        <color theme="1"/>
        <rFont val="Calibri"/>
        <family val="2"/>
        <scheme val="minor"/>
      </rPr>
      <t>₹55,000</t>
    </r>
    <r>
      <rPr>
        <sz val="11"/>
        <color theme="1"/>
        <rFont val="Calibri"/>
        <family val="2"/>
        <scheme val="minor"/>
      </rPr>
      <t xml:space="preserve"> (Bonus% × Salary).</t>
    </r>
  </si>
  <si>
    <r>
      <t xml:space="preserve">7. Create a formula that returns </t>
    </r>
    <r>
      <rPr>
        <b/>
        <sz val="11"/>
        <color theme="1"/>
        <rFont val="Calibri"/>
        <family val="2"/>
        <scheme val="minor"/>
      </rPr>
      <t>"Low", "Medium", or "High Bonus"</t>
    </r>
    <r>
      <rPr>
        <sz val="11"/>
        <color theme="1"/>
        <rFont val="Calibri"/>
        <family val="2"/>
        <scheme val="minor"/>
      </rPr>
      <t xml:space="preserve"> based on approximate match slabs.</t>
    </r>
  </si>
  <si>
    <r>
      <t xml:space="preserve">8. If EmpID = </t>
    </r>
    <r>
      <rPr>
        <sz val="10"/>
        <color theme="1"/>
        <rFont val="Arial Unicode MS"/>
      </rPr>
      <t>103</t>
    </r>
    <r>
      <rPr>
        <sz val="11"/>
        <color theme="1"/>
        <rFont val="Calibri"/>
        <family val="2"/>
        <scheme val="minor"/>
      </rPr>
      <t xml:space="preserve"> (Priya Sharma, Salary 55,000), use VLOOKUP with TRUE to get her Bonus %.</t>
    </r>
  </si>
  <si>
    <r>
      <t xml:space="preserve">9. Find the </t>
    </r>
    <r>
      <rPr>
        <b/>
        <sz val="11"/>
        <color theme="1"/>
        <rFont val="Calibri"/>
        <family val="2"/>
        <scheme val="minor"/>
      </rPr>
      <t>Bonus %</t>
    </r>
    <r>
      <rPr>
        <sz val="11"/>
        <color theme="1"/>
        <rFont val="Calibri"/>
        <family val="2"/>
        <scheme val="minor"/>
      </rPr>
      <t xml:space="preserve"> for employee with highest salary (</t>
    </r>
    <r>
      <rPr>
        <sz val="10"/>
        <color theme="1"/>
        <rFont val="Arial Unicode MS"/>
      </rPr>
      <t>MAX</t>
    </r>
    <r>
      <rPr>
        <sz val="11"/>
        <color theme="1"/>
        <rFont val="Calibri"/>
        <family val="2"/>
        <scheme val="minor"/>
      </rPr>
      <t xml:space="preserve"> from main dataset + VLOOKUP).</t>
    </r>
  </si>
  <si>
    <r>
      <t xml:space="preserve">10. Calculate the </t>
    </r>
    <r>
      <rPr>
        <b/>
        <sz val="11"/>
        <color theme="1"/>
        <rFont val="Calibri"/>
        <family val="2"/>
        <scheme val="minor"/>
      </rPr>
      <t>Bonus % for all employees in IT department</t>
    </r>
    <r>
      <rPr>
        <sz val="11"/>
        <color theme="1"/>
        <rFont val="Calibri"/>
        <family val="2"/>
        <scheme val="minor"/>
      </rPr>
      <t xml:space="preserve"> (apply VLOOKUP to each salary).</t>
    </r>
  </si>
  <si>
    <t>🔹 Hard (Analyst-style)</t>
  </si>
  <si>
    <t>11. Use VLOOKUP (TRUE) to categorize salaries into:</t>
  </si>
  <si>
    <t>Below 40k → “Entry”</t>
  </si>
  <si>
    <t>40k–59k → “Mid-Level”</t>
  </si>
  <si>
    <t>60k–69k → “Senior”</t>
  </si>
  <si>
    <t>70k+ → “Leadership”</t>
  </si>
  <si>
    <t>12. Combine VLOOKUP (TRUE) with IFERROR to return “Not Found” if salary &lt; 0.</t>
  </si>
  <si>
    <r>
      <t xml:space="preserve">13. Build a formula to return the </t>
    </r>
    <r>
      <rPr>
        <b/>
        <sz val="11"/>
        <color theme="1"/>
        <rFont val="Calibri"/>
        <family val="2"/>
        <scheme val="minor"/>
      </rPr>
      <t>Total Compensation</t>
    </r>
    <r>
      <rPr>
        <sz val="11"/>
        <color theme="1"/>
        <rFont val="Calibri"/>
        <family val="2"/>
        <scheme val="minor"/>
      </rPr>
      <t xml:space="preserve"> = Salary + (Salary × Bonus %).</t>
    </r>
  </si>
  <si>
    <r>
      <t xml:space="preserve">14. If EmpID = </t>
    </r>
    <r>
      <rPr>
        <sz val="10"/>
        <color theme="1"/>
        <rFont val="Arial Unicode MS"/>
      </rPr>
      <t>108</t>
    </r>
    <r>
      <rPr>
        <sz val="11"/>
        <color theme="1"/>
        <rFont val="Calibri"/>
        <family val="2"/>
        <scheme val="minor"/>
      </rPr>
      <t xml:space="preserve"> (Devansh Roy, Salary 62,000), get his </t>
    </r>
    <r>
      <rPr>
        <b/>
        <sz val="11"/>
        <color theme="1"/>
        <rFont val="Calibri"/>
        <family val="2"/>
        <scheme val="minor"/>
      </rPr>
      <t>bonus %</t>
    </r>
    <r>
      <rPr>
        <sz val="11"/>
        <color theme="1"/>
        <rFont val="Calibri"/>
        <family val="2"/>
        <scheme val="minor"/>
      </rPr>
      <t xml:space="preserve"> using VLOOKUP (TRUE).</t>
    </r>
  </si>
  <si>
    <r>
      <t xml:space="preserve">15. Write a formula that assigns </t>
    </r>
    <r>
      <rPr>
        <b/>
        <sz val="11"/>
        <color theme="1"/>
        <rFont val="Calibri"/>
        <family val="2"/>
        <scheme val="minor"/>
      </rPr>
      <t>Grades (A, B, C, D)</t>
    </r>
    <r>
      <rPr>
        <sz val="11"/>
        <color theme="1"/>
        <rFont val="Calibri"/>
        <family val="2"/>
        <scheme val="minor"/>
      </rPr>
      <t xml:space="preserve"> based on salary ranges using approximate match table.</t>
    </r>
  </si>
  <si>
    <r>
      <t xml:space="preserve">16. Find the </t>
    </r>
    <r>
      <rPr>
        <b/>
        <sz val="11"/>
        <color theme="1"/>
        <rFont val="Calibri"/>
        <family val="2"/>
        <scheme val="minor"/>
      </rPr>
      <t>average bonus %</t>
    </r>
    <r>
      <rPr>
        <sz val="11"/>
        <color theme="1"/>
        <rFont val="Calibri"/>
        <family val="2"/>
        <scheme val="minor"/>
      </rPr>
      <t xml:space="preserve"> across all employees using VLOOKUP on each salary.</t>
    </r>
  </si>
  <si>
    <r>
      <t xml:space="preserve">17. Create a formula where user enters a Salary in an input cell, and VLOOKUP returns both </t>
    </r>
    <r>
      <rPr>
        <b/>
        <sz val="11"/>
        <color theme="1"/>
        <rFont val="Calibri"/>
        <family val="2"/>
        <scheme val="minor"/>
      </rPr>
      <t>Bonus % and Category</t>
    </r>
    <r>
      <rPr>
        <sz val="11"/>
        <color theme="1"/>
        <rFont val="Calibri"/>
        <family val="2"/>
        <scheme val="minor"/>
      </rPr>
      <t>.</t>
    </r>
  </si>
  <si>
    <r>
      <t xml:space="preserve">18. Use VLOOKUP (TRUE) + MATCH to dynamically select the </t>
    </r>
    <r>
      <rPr>
        <b/>
        <sz val="11"/>
        <color theme="1"/>
        <rFont val="Calibri"/>
        <family val="2"/>
        <scheme val="minor"/>
      </rPr>
      <t>bonus slab column</t>
    </r>
    <r>
      <rPr>
        <sz val="11"/>
        <color theme="1"/>
        <rFont val="Calibri"/>
        <family val="2"/>
        <scheme val="minor"/>
      </rPr>
      <t>.</t>
    </r>
  </si>
  <si>
    <r>
      <t xml:space="preserve">19. Build a formula that checks if an employee’s salary falls in the </t>
    </r>
    <r>
      <rPr>
        <b/>
        <sz val="11"/>
        <color theme="1"/>
        <rFont val="Calibri"/>
        <family val="2"/>
        <scheme val="minor"/>
      </rPr>
      <t>top 2 slabs</t>
    </r>
    <r>
      <rPr>
        <sz val="11"/>
        <color theme="1"/>
        <rFont val="Calibri"/>
        <family val="2"/>
        <scheme val="minor"/>
      </rPr>
      <t xml:space="preserve"> (≥60,000) using approximate match.</t>
    </r>
  </si>
  <si>
    <t>20. Use VLOOKUP (TRUE) with nested ROUND to handle salaries with decimals (e.g., 62,345).</t>
  </si>
  <si>
    <t>✅ Practice Questions (Using VLOOKUP with Exact Match--&gt; False)</t>
  </si>
  <si>
    <r>
      <t xml:space="preserve">Let’s make a </t>
    </r>
    <r>
      <rPr>
        <b/>
        <sz val="11"/>
        <color theme="1"/>
        <rFont val="Calibri"/>
        <family val="2"/>
        <scheme val="minor"/>
      </rPr>
      <t>dummy dataset</t>
    </r>
    <r>
      <rPr>
        <sz val="11"/>
        <color theme="1"/>
        <rFont val="Calibri"/>
        <family val="2"/>
        <scheme val="minor"/>
      </rPr>
      <t xml:space="preserve"> (small table) in Excel and then I’ll give you </t>
    </r>
    <r>
      <rPr>
        <b/>
        <sz val="11"/>
        <color theme="1"/>
        <rFont val="Calibri"/>
        <family val="2"/>
        <scheme val="minor"/>
      </rPr>
      <t>practice questions</t>
    </r>
    <r>
      <rPr>
        <sz val="11"/>
        <color theme="1"/>
        <rFont val="Calibri"/>
        <family val="2"/>
        <scheme val="minor"/>
      </rPr>
      <t xml:space="preserve"> on </t>
    </r>
    <r>
      <rPr>
        <sz val="10"/>
        <color theme="1"/>
        <rFont val="Arial Unicode MS"/>
      </rPr>
      <t>TRIM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PROPER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UPPER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LOWER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LEN</t>
    </r>
    <r>
      <rPr>
        <sz val="11"/>
        <color theme="1"/>
        <rFont val="Calibri"/>
        <family val="2"/>
        <scheme val="minor"/>
      </rPr>
      <t xml:space="preserve"> functions.</t>
    </r>
  </si>
  <si>
    <t>ID</t>
  </si>
  <si>
    <t>FirstName</t>
  </si>
  <si>
    <t>LastName</t>
  </si>
  <si>
    <t>Email</t>
  </si>
  <si>
    <t>anushree</t>
  </si>
  <si>
    <t>KASHYAP</t>
  </si>
  <si>
    <t>AnuK @gmail.com</t>
  </si>
  <si>
    <t>new delhi</t>
  </si>
  <si>
    <t>rahul</t>
  </si>
  <si>
    <t>sharma</t>
  </si>
  <si>
    <t>RaHul.Sharma @yahoo.com</t>
  </si>
  <si>
    <t>MUMBAI</t>
  </si>
  <si>
    <t>priya</t>
  </si>
  <si>
    <t>VERMA</t>
  </si>
  <si>
    <t>priya. verma@gmail.com</t>
  </si>
  <si>
    <t>bangalore</t>
  </si>
  <si>
    <t>amit</t>
  </si>
  <si>
    <t>GUPTA</t>
  </si>
  <si>
    <t>Amit.Gupta @outlook.com</t>
  </si>
  <si>
    <t>kolKata</t>
  </si>
  <si>
    <t>sonia</t>
  </si>
  <si>
    <t>mehta</t>
  </si>
  <si>
    <t>sonia_mehta@ rediff.com</t>
  </si>
  <si>
    <t>CHENNAI</t>
  </si>
  <si>
    <t>TRIM</t>
  </si>
  <si>
    <r>
      <t xml:space="preserve">1. Remove extra spaces from </t>
    </r>
    <r>
      <rPr>
        <sz val="10"/>
        <color theme="1"/>
        <rFont val="Arial Unicode MS"/>
      </rPr>
      <t>FirstName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LastName</t>
    </r>
    <r>
      <rPr>
        <sz val="11"/>
        <color theme="1"/>
        <rFont val="Calibri"/>
        <family val="2"/>
        <scheme val="minor"/>
      </rPr>
      <t xml:space="preserve"> columns.</t>
    </r>
  </si>
  <si>
    <r>
      <t xml:space="preserve">2. Clean the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 column so there are no unwanted spaces.</t>
    </r>
  </si>
  <si>
    <r>
      <t xml:space="preserve">3. Combine cleaned </t>
    </r>
    <r>
      <rPr>
        <sz val="10"/>
        <color theme="1"/>
        <rFont val="Arial Unicode MS"/>
      </rPr>
      <t>FirstName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LastName</t>
    </r>
    <r>
      <rPr>
        <sz val="11"/>
        <color theme="1"/>
        <rFont val="Calibri"/>
        <family val="2"/>
        <scheme val="minor"/>
      </rPr>
      <t xml:space="preserve"> into a single “FullName” column.</t>
    </r>
  </si>
  <si>
    <t>PROPER</t>
  </si>
  <si>
    <r>
      <t xml:space="preserve">4. Convert </t>
    </r>
    <r>
      <rPr>
        <sz val="10"/>
        <color theme="1"/>
        <rFont val="Arial Unicode MS"/>
      </rPr>
      <t>FirstName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LastName</t>
    </r>
    <r>
      <rPr>
        <sz val="11"/>
        <color theme="1"/>
        <rFont val="Calibri"/>
        <family val="2"/>
        <scheme val="minor"/>
      </rPr>
      <t xml:space="preserve"> into </t>
    </r>
    <r>
      <rPr>
        <b/>
        <sz val="11"/>
        <color theme="1"/>
        <rFont val="Calibri"/>
        <family val="2"/>
        <scheme val="minor"/>
      </rPr>
      <t>Proper Case</t>
    </r>
    <r>
      <rPr>
        <sz val="11"/>
        <color theme="1"/>
        <rFont val="Calibri"/>
        <family val="2"/>
        <scheme val="minor"/>
      </rPr>
      <t xml:space="preserve"> (e.g., “anushree” → “Anushree”).</t>
    </r>
  </si>
  <si>
    <r>
      <t xml:space="preserve">5. Convert </t>
    </r>
    <r>
      <rPr>
        <sz val="10"/>
        <color theme="1"/>
        <rFont val="Arial Unicode MS"/>
      </rPr>
      <t>City</t>
    </r>
    <r>
      <rPr>
        <sz val="11"/>
        <color theme="1"/>
        <rFont val="Calibri"/>
        <family val="2"/>
        <scheme val="minor"/>
      </rPr>
      <t xml:space="preserve"> names into </t>
    </r>
    <r>
      <rPr>
        <b/>
        <sz val="11"/>
        <color theme="1"/>
        <rFont val="Calibri"/>
        <family val="2"/>
        <scheme val="minor"/>
      </rPr>
      <t>Proper Case</t>
    </r>
    <r>
      <rPr>
        <sz val="11"/>
        <color theme="1"/>
        <rFont val="Calibri"/>
        <family val="2"/>
        <scheme val="minor"/>
      </rPr>
      <t>.</t>
    </r>
  </si>
  <si>
    <r>
      <t xml:space="preserve">6. Create a column with </t>
    </r>
    <r>
      <rPr>
        <sz val="10"/>
        <color theme="1"/>
        <rFont val="Arial Unicode MS"/>
      </rPr>
      <t>FullName</t>
    </r>
    <r>
      <rPr>
        <sz val="11"/>
        <color theme="1"/>
        <rFont val="Calibri"/>
        <family val="2"/>
        <scheme val="minor"/>
      </rPr>
      <t xml:space="preserve"> in Proper Case (first letter capitalized).</t>
    </r>
  </si>
  <si>
    <t>UPPER</t>
  </si>
  <si>
    <r>
      <t xml:space="preserve">7. Convert all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 addresses to </t>
    </r>
    <r>
      <rPr>
        <b/>
        <sz val="11"/>
        <color theme="1"/>
        <rFont val="Calibri"/>
        <family val="2"/>
        <scheme val="minor"/>
      </rPr>
      <t>Upper Case</t>
    </r>
    <r>
      <rPr>
        <sz val="11"/>
        <color theme="1"/>
        <rFont val="Calibri"/>
        <family val="2"/>
        <scheme val="minor"/>
      </rPr>
      <t>.</t>
    </r>
  </si>
  <si>
    <r>
      <t xml:space="preserve">8. Create a new column with </t>
    </r>
    <r>
      <rPr>
        <sz val="10"/>
        <color theme="1"/>
        <rFont val="Arial Unicode MS"/>
      </rPr>
      <t>City</t>
    </r>
    <r>
      <rPr>
        <sz val="11"/>
        <color theme="1"/>
        <rFont val="Calibri"/>
        <family val="2"/>
        <scheme val="minor"/>
      </rPr>
      <t xml:space="preserve"> names in </t>
    </r>
    <r>
      <rPr>
        <b/>
        <sz val="11"/>
        <color theme="1"/>
        <rFont val="Calibri"/>
        <family val="2"/>
        <scheme val="minor"/>
      </rPr>
      <t>Upper Case</t>
    </r>
    <r>
      <rPr>
        <sz val="11"/>
        <color theme="1"/>
        <rFont val="Calibri"/>
        <family val="2"/>
        <scheme val="minor"/>
      </rPr>
      <t>.</t>
    </r>
  </si>
  <si>
    <r>
      <t xml:space="preserve">9. Convert </t>
    </r>
    <r>
      <rPr>
        <sz val="10"/>
        <color theme="1"/>
        <rFont val="Arial Unicode MS"/>
      </rPr>
      <t>LastName</t>
    </r>
    <r>
      <rPr>
        <sz val="11"/>
        <color theme="1"/>
        <rFont val="Calibri"/>
        <family val="2"/>
        <scheme val="minor"/>
      </rPr>
      <t xml:space="preserve"> into </t>
    </r>
    <r>
      <rPr>
        <b/>
        <sz val="11"/>
        <color theme="1"/>
        <rFont val="Calibri"/>
        <family val="2"/>
        <scheme val="minor"/>
      </rPr>
      <t>Upper Case</t>
    </r>
    <r>
      <rPr>
        <sz val="11"/>
        <color theme="1"/>
        <rFont val="Calibri"/>
        <family val="2"/>
        <scheme val="minor"/>
      </rPr>
      <t xml:space="preserve"> only.</t>
    </r>
  </si>
  <si>
    <t>LOWER</t>
  </si>
  <si>
    <r>
      <t xml:space="preserve">10. Convert all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 addresses to </t>
    </r>
    <r>
      <rPr>
        <b/>
        <sz val="11"/>
        <color theme="1"/>
        <rFont val="Calibri"/>
        <family val="2"/>
        <scheme val="minor"/>
      </rPr>
      <t>Lower Case</t>
    </r>
    <r>
      <rPr>
        <sz val="11"/>
        <color theme="1"/>
        <rFont val="Calibri"/>
        <family val="2"/>
        <scheme val="minor"/>
      </rPr>
      <t xml:space="preserve"> (useful for login systems).</t>
    </r>
  </si>
  <si>
    <r>
      <t xml:space="preserve">11. Create a column with </t>
    </r>
    <r>
      <rPr>
        <sz val="10"/>
        <color theme="1"/>
        <rFont val="Arial Unicode MS"/>
      </rPr>
      <t>FullName</t>
    </r>
    <r>
      <rPr>
        <sz val="11"/>
        <color theme="1"/>
        <rFont val="Calibri"/>
        <family val="2"/>
        <scheme val="minor"/>
      </rPr>
      <t xml:space="preserve"> in all </t>
    </r>
    <r>
      <rPr>
        <b/>
        <sz val="11"/>
        <color theme="1"/>
        <rFont val="Calibri"/>
        <family val="2"/>
        <scheme val="minor"/>
      </rPr>
      <t>Lower Case</t>
    </r>
    <r>
      <rPr>
        <sz val="11"/>
        <color theme="1"/>
        <rFont val="Calibri"/>
        <family val="2"/>
        <scheme val="minor"/>
      </rPr>
      <t>.</t>
    </r>
  </si>
  <si>
    <r>
      <t xml:space="preserve">12. Convert </t>
    </r>
    <r>
      <rPr>
        <sz val="10"/>
        <color theme="1"/>
        <rFont val="Arial Unicode MS"/>
      </rPr>
      <t>City</t>
    </r>
    <r>
      <rPr>
        <sz val="11"/>
        <color theme="1"/>
        <rFont val="Calibri"/>
        <family val="2"/>
        <scheme val="minor"/>
      </rPr>
      <t xml:space="preserve"> names to </t>
    </r>
    <r>
      <rPr>
        <b/>
        <sz val="11"/>
        <color theme="1"/>
        <rFont val="Calibri"/>
        <family val="2"/>
        <scheme val="minor"/>
      </rPr>
      <t>Lower Case</t>
    </r>
    <r>
      <rPr>
        <sz val="11"/>
        <color theme="1"/>
        <rFont val="Calibri"/>
        <family val="2"/>
        <scheme val="minor"/>
      </rPr>
      <t>.</t>
    </r>
  </si>
  <si>
    <t>LEN</t>
  </si>
  <si>
    <r>
      <t xml:space="preserve">13. Find the total number of characters in each </t>
    </r>
    <r>
      <rPr>
        <sz val="10"/>
        <color theme="1"/>
        <rFont val="Arial Unicode MS"/>
      </rPr>
      <t>FirstName</t>
    </r>
    <r>
      <rPr>
        <sz val="11"/>
        <color theme="1"/>
        <rFont val="Calibri"/>
        <family val="2"/>
        <scheme val="minor"/>
      </rPr>
      <t>.</t>
    </r>
  </si>
  <si>
    <r>
      <t xml:space="preserve">14. Find the number of characters in each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 (before cleaning vs. after cleaning).</t>
    </r>
  </si>
  <si>
    <r>
      <t xml:space="preserve">15. Find which </t>
    </r>
    <r>
      <rPr>
        <sz val="10"/>
        <color theme="1"/>
        <rFont val="Arial Unicode MS"/>
      </rPr>
      <t>City</t>
    </r>
    <r>
      <rPr>
        <sz val="11"/>
        <color theme="1"/>
        <rFont val="Calibri"/>
        <family val="2"/>
        <scheme val="minor"/>
      </rPr>
      <t xml:space="preserve"> name has the </t>
    </r>
    <r>
      <rPr>
        <b/>
        <sz val="11"/>
        <color theme="1"/>
        <rFont val="Calibri"/>
        <family val="2"/>
        <scheme val="minor"/>
      </rPr>
      <t>longest</t>
    </r>
    <r>
      <rPr>
        <sz val="11"/>
        <color theme="1"/>
        <rFont val="Calibri"/>
        <family val="2"/>
        <scheme val="minor"/>
      </rPr>
      <t xml:space="preserve"> length.</t>
    </r>
  </si>
  <si>
    <r>
      <t xml:space="preserve">16. Count how many characters are in the </t>
    </r>
    <r>
      <rPr>
        <sz val="10"/>
        <color theme="1"/>
        <rFont val="Arial Unicode MS"/>
      </rPr>
      <t>FullName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</si>
  <si>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17. Which employee has the </t>
    </r>
    <r>
      <rPr>
        <b/>
        <sz val="11"/>
        <color theme="1"/>
        <rFont val="Calibri"/>
        <family val="2"/>
        <scheme val="minor"/>
      </rPr>
      <t>shortest</t>
    </r>
    <r>
      <rPr>
        <sz val="11"/>
        <color theme="1"/>
        <rFont val="Calibri"/>
        <family val="2"/>
        <scheme val="minor"/>
      </rPr>
      <t xml:space="preserve"> first name?</t>
    </r>
  </si>
  <si>
    <t>Note: I’ve intentionally added</t>
  </si>
  <si>
    <r>
      <t>extra spaces</t>
    </r>
    <r>
      <rPr>
        <sz val="11"/>
        <color theme="1"/>
        <rFont val="Calibri"/>
        <family val="2"/>
        <scheme val="minor"/>
      </rPr>
      <t xml:space="preserve"> (before/after/in between)</t>
    </r>
  </si>
  <si>
    <t>mixed case letters</t>
  </si>
  <si>
    <t>inconsistent casing in city names</t>
  </si>
  <si>
    <t>so you can practice data cleaning.</t>
  </si>
  <si>
    <r>
      <t xml:space="preserve">lets you practice </t>
    </r>
    <r>
      <rPr>
        <b/>
        <sz val="11"/>
        <color theme="1"/>
        <rFont val="Calibri"/>
        <family val="2"/>
        <scheme val="minor"/>
      </rPr>
      <t>text cleaning, case formatting, and character length analysis</t>
    </r>
    <r>
      <rPr>
        <sz val="11"/>
        <color theme="1"/>
        <rFont val="Calibri"/>
        <family val="2"/>
        <scheme val="minor"/>
      </rPr>
      <t xml:space="preserve"> in Excel.</t>
    </r>
  </si>
  <si>
    <r>
      <t>text extraction and joining functions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LEFT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RIGHT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CONCATENATE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FIND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SEARCH</t>
    </r>
    <r>
      <rPr>
        <sz val="11"/>
        <color theme="1"/>
        <rFont val="Calibri"/>
        <family val="2"/>
        <scheme val="minor"/>
      </rPr>
      <t>).</t>
    </r>
  </si>
  <si>
    <t>Phone</t>
  </si>
  <si>
    <t>Anushree</t>
  </si>
  <si>
    <t>Kashyap</t>
  </si>
  <si>
    <t>anushree.k @gmail.com</t>
  </si>
  <si>
    <t>New Delhi</t>
  </si>
  <si>
    <t>Rahul</t>
  </si>
  <si>
    <t>Sharma</t>
  </si>
  <si>
    <t>rahul.sharma@yahoo.com</t>
  </si>
  <si>
    <t>Priya</t>
  </si>
  <si>
    <t>Verma</t>
  </si>
  <si>
    <t>priya.v @outlook.com</t>
  </si>
  <si>
    <t>Amit</t>
  </si>
  <si>
    <t>Gupta</t>
  </si>
  <si>
    <t>amitg123@gmail.com</t>
  </si>
  <si>
    <t>Sonia</t>
  </si>
  <si>
    <t>Mehta</t>
  </si>
  <si>
    <t>s.mehta@rediffmail.com</t>
  </si>
  <si>
    <r>
      <t xml:space="preserve">👉 I kept emails &amp; phone numbers in a way that you can extract substrings and test </t>
    </r>
    <r>
      <rPr>
        <sz val="10"/>
        <color theme="1"/>
        <rFont val="Arial Unicode MS"/>
      </rPr>
      <t>FIND/SEARCH</t>
    </r>
    <r>
      <rPr>
        <sz val="11"/>
        <color theme="1"/>
        <rFont val="Calibri"/>
        <family val="2"/>
        <scheme val="minor"/>
      </rPr>
      <t>.</t>
    </r>
  </si>
  <si>
    <t>📝 Practice Questions</t>
  </si>
  <si>
    <t>LEFT</t>
  </si>
  <si>
    <r>
      <t xml:space="preserve">1. Extract the </t>
    </r>
    <r>
      <rPr>
        <b/>
        <sz val="11"/>
        <color theme="1"/>
        <rFont val="Calibri"/>
        <family val="2"/>
        <scheme val="minor"/>
      </rPr>
      <t>first 3 letters</t>
    </r>
    <r>
      <rPr>
        <sz val="11"/>
        <color theme="1"/>
        <rFont val="Calibri"/>
        <family val="2"/>
        <scheme val="minor"/>
      </rPr>
      <t xml:space="preserve"> of each </t>
    </r>
    <r>
      <rPr>
        <sz val="10"/>
        <color theme="1"/>
        <rFont val="Arial Unicode MS"/>
      </rPr>
      <t>FirstName</t>
    </r>
    <r>
      <rPr>
        <sz val="11"/>
        <color theme="1"/>
        <rFont val="Calibri"/>
        <family val="2"/>
        <scheme val="minor"/>
      </rPr>
      <t>.</t>
    </r>
  </si>
  <si>
    <r>
      <t xml:space="preserve">2. Get the </t>
    </r>
    <r>
      <rPr>
        <b/>
        <sz val="11"/>
        <color theme="1"/>
        <rFont val="Calibri"/>
        <family val="2"/>
        <scheme val="minor"/>
      </rPr>
      <t>area code</t>
    </r>
    <r>
      <rPr>
        <sz val="11"/>
        <color theme="1"/>
        <rFont val="Calibri"/>
        <family val="2"/>
        <scheme val="minor"/>
      </rPr>
      <t xml:space="preserve"> (first 3 digits) from the </t>
    </r>
    <r>
      <rPr>
        <sz val="10"/>
        <color theme="1"/>
        <rFont val="Arial Unicode MS"/>
      </rPr>
      <t>Phone</t>
    </r>
    <r>
      <rPr>
        <sz val="11"/>
        <color theme="1"/>
        <rFont val="Calibri"/>
        <family val="2"/>
        <scheme val="minor"/>
      </rPr>
      <t xml:space="preserve"> numbers.</t>
    </r>
  </si>
  <si>
    <r>
      <t xml:space="preserve">3. Extract the </t>
    </r>
    <r>
      <rPr>
        <b/>
        <sz val="11"/>
        <color theme="1"/>
        <rFont val="Calibri"/>
        <family val="2"/>
        <scheme val="minor"/>
      </rPr>
      <t>first 5 characters</t>
    </r>
    <r>
      <rPr>
        <sz val="11"/>
        <color theme="1"/>
        <rFont val="Calibri"/>
        <family val="2"/>
        <scheme val="minor"/>
      </rPr>
      <t xml:space="preserve"> of the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 column.</t>
    </r>
  </si>
  <si>
    <t>RIGHT</t>
  </si>
  <si>
    <r>
      <t xml:space="preserve">4. Extract the </t>
    </r>
    <r>
      <rPr>
        <b/>
        <sz val="11"/>
        <color theme="1"/>
        <rFont val="Calibri"/>
        <family val="2"/>
        <scheme val="minor"/>
      </rPr>
      <t>last 3 letters</t>
    </r>
    <r>
      <rPr>
        <sz val="11"/>
        <color theme="1"/>
        <rFont val="Calibri"/>
        <family val="2"/>
        <scheme val="minor"/>
      </rPr>
      <t xml:space="preserve"> of each </t>
    </r>
    <r>
      <rPr>
        <sz val="10"/>
        <color theme="1"/>
        <rFont val="Arial Unicode MS"/>
      </rPr>
      <t>LastName</t>
    </r>
    <r>
      <rPr>
        <sz val="11"/>
        <color theme="1"/>
        <rFont val="Calibri"/>
        <family val="2"/>
        <scheme val="minor"/>
      </rPr>
      <t>.</t>
    </r>
  </si>
  <si>
    <r>
      <t xml:space="preserve">5. Extract the </t>
    </r>
    <r>
      <rPr>
        <b/>
        <sz val="11"/>
        <color theme="1"/>
        <rFont val="Calibri"/>
        <family val="2"/>
        <scheme val="minor"/>
      </rPr>
      <t>last 4 digits</t>
    </r>
    <r>
      <rPr>
        <sz val="11"/>
        <color theme="1"/>
        <rFont val="Calibri"/>
        <family val="2"/>
        <scheme val="minor"/>
      </rPr>
      <t xml:space="preserve"> of the </t>
    </r>
    <r>
      <rPr>
        <sz val="10"/>
        <color theme="1"/>
        <rFont val="Arial Unicode MS"/>
      </rPr>
      <t>Phone</t>
    </r>
    <r>
      <rPr>
        <sz val="11"/>
        <color theme="1"/>
        <rFont val="Calibri"/>
        <family val="2"/>
        <scheme val="minor"/>
      </rPr>
      <t xml:space="preserve"> numbers.</t>
    </r>
  </si>
  <si>
    <r>
      <t xml:space="preserve">6. Get the </t>
    </r>
    <r>
      <rPr>
        <b/>
        <sz val="11"/>
        <color theme="1"/>
        <rFont val="Calibri"/>
        <family val="2"/>
        <scheme val="minor"/>
      </rPr>
      <t>domain extension</t>
    </r>
    <r>
      <rPr>
        <sz val="11"/>
        <color theme="1"/>
        <rFont val="Calibri"/>
        <family val="2"/>
        <scheme val="minor"/>
      </rPr>
      <t xml:space="preserve"> (like “.com”) from the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>.</t>
    </r>
  </si>
  <si>
    <t>MID</t>
  </si>
  <si>
    <r>
      <t xml:space="preserve">7. From </t>
    </r>
    <r>
      <rPr>
        <sz val="10"/>
        <color theme="1"/>
        <rFont val="Arial Unicode MS"/>
      </rPr>
      <t>Phone</t>
    </r>
    <r>
      <rPr>
        <sz val="11"/>
        <color theme="1"/>
        <rFont val="Calibri"/>
        <family val="2"/>
        <scheme val="minor"/>
      </rPr>
      <t xml:space="preserve">, extract the </t>
    </r>
    <r>
      <rPr>
        <b/>
        <sz val="11"/>
        <color theme="1"/>
        <rFont val="Calibri"/>
        <family val="2"/>
        <scheme val="minor"/>
      </rPr>
      <t>middle 4 digits</t>
    </r>
    <r>
      <rPr>
        <sz val="11"/>
        <color theme="1"/>
        <rFont val="Calibri"/>
        <family val="2"/>
        <scheme val="minor"/>
      </rPr>
      <t>.</t>
    </r>
  </si>
  <si>
    <r>
      <t xml:space="preserve">8. From </t>
    </r>
    <r>
      <rPr>
        <sz val="10"/>
        <color theme="1"/>
        <rFont val="Arial Unicode MS"/>
      </rPr>
      <t>FirstName</t>
    </r>
    <r>
      <rPr>
        <sz val="11"/>
        <color theme="1"/>
        <rFont val="Calibri"/>
        <family val="2"/>
        <scheme val="minor"/>
      </rPr>
      <t xml:space="preserve">, extract </t>
    </r>
    <r>
      <rPr>
        <b/>
        <sz val="11"/>
        <color theme="1"/>
        <rFont val="Calibri"/>
        <family val="2"/>
        <scheme val="minor"/>
      </rPr>
      <t>2nd to 4th characters</t>
    </r>
    <r>
      <rPr>
        <sz val="11"/>
        <color theme="1"/>
        <rFont val="Calibri"/>
        <family val="2"/>
        <scheme val="minor"/>
      </rPr>
      <t>.</t>
    </r>
  </si>
  <si>
    <r>
      <t xml:space="preserve">9. From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, extract the part </t>
    </r>
    <r>
      <rPr>
        <b/>
        <sz val="11"/>
        <color theme="1"/>
        <rFont val="Calibri"/>
        <family val="2"/>
        <scheme val="minor"/>
      </rPr>
      <t>just before @</t>
    </r>
    <r>
      <rPr>
        <sz val="11"/>
        <color theme="1"/>
        <rFont val="Calibri"/>
        <family val="2"/>
        <scheme val="minor"/>
      </rPr>
      <t xml:space="preserve"> (hint: combine with </t>
    </r>
    <r>
      <rPr>
        <sz val="10"/>
        <color theme="1"/>
        <rFont val="Arial Unicode MS"/>
      </rPr>
      <t>FIND</t>
    </r>
    <r>
      <rPr>
        <sz val="11"/>
        <color theme="1"/>
        <rFont val="Calibri"/>
        <family val="2"/>
        <scheme val="minor"/>
      </rPr>
      <t>).</t>
    </r>
  </si>
  <si>
    <t>CONCATENATE</t>
  </si>
  <si>
    <r>
      <t xml:space="preserve">10. Combine </t>
    </r>
    <r>
      <rPr>
        <sz val="10"/>
        <color theme="1"/>
        <rFont val="Arial Unicode MS"/>
      </rPr>
      <t>FirstName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LastName</t>
    </r>
    <r>
      <rPr>
        <sz val="11"/>
        <color theme="1"/>
        <rFont val="Calibri"/>
        <family val="2"/>
        <scheme val="minor"/>
      </rPr>
      <t xml:space="preserve"> into one cell (no space).</t>
    </r>
  </si>
  <si>
    <r>
      <t xml:space="preserve">11. Join </t>
    </r>
    <r>
      <rPr>
        <sz val="10"/>
        <color theme="1"/>
        <rFont val="Arial Unicode MS"/>
      </rPr>
      <t>City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Phone</t>
    </r>
    <r>
      <rPr>
        <sz val="11"/>
        <color theme="1"/>
        <rFont val="Calibri"/>
        <family val="2"/>
        <scheme val="minor"/>
      </rPr>
      <t xml:space="preserve"> together.</t>
    </r>
  </si>
  <si>
    <r>
      <t xml:space="preserve">12. Combine </t>
    </r>
    <r>
      <rPr>
        <sz val="10"/>
        <color theme="1"/>
        <rFont val="Arial Unicode MS"/>
      </rPr>
      <t>FirstName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LastName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 in one column.</t>
    </r>
  </si>
  <si>
    <t>CONCATENATE with Space</t>
  </si>
  <si>
    <r>
      <t xml:space="preserve">13. Combine </t>
    </r>
    <r>
      <rPr>
        <sz val="10"/>
        <color theme="1"/>
        <rFont val="Arial Unicode MS"/>
      </rPr>
      <t>FirstName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LastName</t>
    </r>
    <r>
      <rPr>
        <sz val="11"/>
        <color theme="1"/>
        <rFont val="Calibri"/>
        <family val="2"/>
        <scheme val="minor"/>
      </rPr>
      <t xml:space="preserve"> as </t>
    </r>
    <r>
      <rPr>
        <b/>
        <sz val="11"/>
        <color theme="1"/>
        <rFont val="Calibri"/>
        <family val="2"/>
        <scheme val="minor"/>
      </rPr>
      <t>FullName</t>
    </r>
    <r>
      <rPr>
        <sz val="11"/>
        <color theme="1"/>
        <rFont val="Calibri"/>
        <family val="2"/>
        <scheme val="minor"/>
      </rPr>
      <t xml:space="preserve"> with a space.</t>
    </r>
  </si>
  <si>
    <t>14. Create a column with format:</t>
  </si>
  <si>
    <r>
      <t xml:space="preserve">👉 </t>
    </r>
    <r>
      <rPr>
        <sz val="10"/>
        <color theme="1"/>
        <rFont val="Arial Unicode MS"/>
      </rPr>
      <t>"FullName - City - Phone"</t>
    </r>
  </si>
  <si>
    <r>
      <t xml:space="preserve">15. Show </t>
    </r>
    <r>
      <rPr>
        <sz val="10"/>
        <color theme="1"/>
        <rFont val="Arial Unicode MS"/>
      </rPr>
      <t>"FirstName LastName (Email)"</t>
    </r>
    <r>
      <rPr>
        <sz val="11"/>
        <color theme="1"/>
        <rFont val="Calibri"/>
        <family val="2"/>
        <scheme val="minor"/>
      </rPr>
      <t xml:space="preserve"> in one column.</t>
    </r>
  </si>
  <si>
    <t>FIND (case-sensitive)</t>
  </si>
  <si>
    <r>
      <t xml:space="preserve">16. Find the position of </t>
    </r>
    <r>
      <rPr>
        <sz val="10"/>
        <color theme="1"/>
        <rFont val="Arial Unicode MS"/>
      </rPr>
      <t>"@"</t>
    </r>
    <r>
      <rPr>
        <sz val="11"/>
        <color theme="1"/>
        <rFont val="Calibri"/>
        <family val="2"/>
        <scheme val="minor"/>
      </rPr>
      <t xml:space="preserve"> in each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>.</t>
    </r>
  </si>
  <si>
    <r>
      <t xml:space="preserve">17. Find the position of letter </t>
    </r>
    <r>
      <rPr>
        <sz val="10"/>
        <color theme="1"/>
        <rFont val="Arial Unicode MS"/>
      </rPr>
      <t>"a"</t>
    </r>
    <r>
      <rPr>
        <sz val="11"/>
        <color theme="1"/>
        <rFont val="Calibri"/>
        <family val="2"/>
        <scheme val="minor"/>
      </rPr>
      <t xml:space="preserve"> in each </t>
    </r>
    <r>
      <rPr>
        <sz val="10"/>
        <color theme="1"/>
        <rFont val="Arial Unicode MS"/>
      </rPr>
      <t>FirstName</t>
    </r>
    <r>
      <rPr>
        <sz val="11"/>
        <color theme="1"/>
        <rFont val="Calibri"/>
        <family val="2"/>
        <scheme val="minor"/>
      </rPr>
      <t>.</t>
    </r>
  </si>
  <si>
    <r>
      <t xml:space="preserve">18. Find where </t>
    </r>
    <r>
      <rPr>
        <sz val="10"/>
        <color theme="1"/>
        <rFont val="Arial Unicode MS"/>
      </rPr>
      <t>"sh"</t>
    </r>
    <r>
      <rPr>
        <sz val="11"/>
        <color theme="1"/>
        <rFont val="Calibri"/>
        <family val="2"/>
        <scheme val="minor"/>
      </rPr>
      <t xml:space="preserve"> occurs in </t>
    </r>
    <r>
      <rPr>
        <sz val="10"/>
        <color theme="1"/>
        <rFont val="Arial Unicode MS"/>
      </rPr>
      <t>LastName</t>
    </r>
    <r>
      <rPr>
        <sz val="11"/>
        <color theme="1"/>
        <rFont val="Calibri"/>
        <family val="2"/>
        <scheme val="minor"/>
      </rPr>
      <t xml:space="preserve"> (works only if exact case matches).</t>
    </r>
  </si>
  <si>
    <t>SEARCH (not case-sensitive)</t>
  </si>
  <si>
    <r>
      <t xml:space="preserve">19. Search for </t>
    </r>
    <r>
      <rPr>
        <sz val="10"/>
        <color theme="1"/>
        <rFont val="Arial Unicode MS"/>
      </rPr>
      <t>"gmail"</t>
    </r>
    <r>
      <rPr>
        <sz val="11"/>
        <color theme="1"/>
        <rFont val="Calibri"/>
        <family val="2"/>
        <scheme val="minor"/>
      </rPr>
      <t xml:space="preserve"> inside the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</si>
  <si>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20. Search for </t>
    </r>
    <r>
      <rPr>
        <sz val="10"/>
        <color theme="1"/>
        <rFont val="Arial Unicode MS"/>
      </rPr>
      <t>"delhi"</t>
    </r>
    <r>
      <rPr>
        <sz val="11"/>
        <color theme="1"/>
        <rFont val="Calibri"/>
        <family val="2"/>
        <scheme val="minor"/>
      </rPr>
      <t xml:space="preserve"> in the </t>
    </r>
    <r>
      <rPr>
        <sz val="10"/>
        <color theme="1"/>
        <rFont val="Arial Unicode MS"/>
      </rPr>
      <t>City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</si>
  <si>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21. Find the position of </t>
    </r>
    <r>
      <rPr>
        <sz val="10"/>
        <color theme="1"/>
        <rFont val="Arial Unicode MS"/>
      </rPr>
      <t>"M"</t>
    </r>
    <r>
      <rPr>
        <sz val="11"/>
        <color theme="1"/>
        <rFont val="Calibri"/>
        <family val="2"/>
        <scheme val="minor"/>
      </rPr>
      <t xml:space="preserve"> in </t>
    </r>
    <r>
      <rPr>
        <sz val="10"/>
        <color theme="1"/>
        <rFont val="Arial Unicode MS"/>
      </rPr>
      <t>LastName</t>
    </r>
    <r>
      <rPr>
        <sz val="11"/>
        <color theme="1"/>
        <rFont val="Calibri"/>
        <family val="2"/>
        <scheme val="minor"/>
      </rPr>
      <t xml:space="preserve"> (will work even if it’s </t>
    </r>
    <r>
      <rPr>
        <sz val="10"/>
        <color theme="1"/>
        <rFont val="Arial Unicode MS"/>
      </rPr>
      <t>m</t>
    </r>
    <r>
      <rPr>
        <sz val="11"/>
        <color theme="1"/>
        <rFont val="Calibri"/>
        <family val="2"/>
        <scheme val="minor"/>
      </rPr>
      <t>).</t>
    </r>
  </si>
  <si>
    <r>
      <t xml:space="preserve">👉 This dataset + questions covers </t>
    </r>
    <r>
      <rPr>
        <b/>
        <sz val="11"/>
        <color theme="1"/>
        <rFont val="Calibri"/>
        <family val="2"/>
        <scheme val="minor"/>
      </rPr>
      <t>string extraction, joining, and searching</t>
    </r>
    <r>
      <rPr>
        <sz val="11"/>
        <color theme="1"/>
        <rFont val="Calibri"/>
        <family val="2"/>
        <scheme val="minor"/>
      </rPr>
      <t>.</t>
    </r>
  </si>
  <si>
    <t>Idex</t>
  </si>
  <si>
    <t>Subjects</t>
  </si>
  <si>
    <t>Marks</t>
  </si>
  <si>
    <t>English</t>
  </si>
  <si>
    <t>Hindi</t>
  </si>
  <si>
    <t>Maths</t>
  </si>
  <si>
    <t>Science</t>
  </si>
  <si>
    <t>Physics</t>
  </si>
  <si>
    <t>Chemistry</t>
  </si>
  <si>
    <t>Pass/Fails</t>
  </si>
  <si>
    <t>Based on if function</t>
  </si>
  <si>
    <t>Based on Choose Function</t>
  </si>
  <si>
    <t>I want to give a code like 1 for Monday, 2 for Tuesday … and 7 for Sunday, do it with the help of Choose condition</t>
  </si>
  <si>
    <t>change the number from 1 to 7 in B15 and see the result day wise</t>
  </si>
  <si>
    <t>Order Id</t>
  </si>
  <si>
    <t>Date</t>
  </si>
  <si>
    <t>Product Id</t>
  </si>
  <si>
    <t>Price</t>
  </si>
  <si>
    <t>Total Sales</t>
  </si>
  <si>
    <t>ORD-06-0</t>
  </si>
  <si>
    <t>KL2</t>
  </si>
  <si>
    <t>ORD-06-1</t>
  </si>
  <si>
    <t>KL1</t>
  </si>
  <si>
    <t>ORD-06-2</t>
  </si>
  <si>
    <t>KL4</t>
  </si>
  <si>
    <t>ORD-06-3</t>
  </si>
  <si>
    <t>KL3</t>
  </si>
  <si>
    <t>ORD-06-4</t>
  </si>
  <si>
    <t>KL5</t>
  </si>
  <si>
    <t>ORD-06-5</t>
  </si>
  <si>
    <t>ORD-06-6</t>
  </si>
  <si>
    <t>ORD-06-7</t>
  </si>
  <si>
    <t>ORD-06-8</t>
  </si>
  <si>
    <t>ORD-06-9</t>
  </si>
  <si>
    <t>ORD-06-10</t>
  </si>
  <si>
    <t>ORD-06-11</t>
  </si>
  <si>
    <t>ORD-06-12</t>
  </si>
  <si>
    <t>ORD-06-13</t>
  </si>
  <si>
    <t>ORD-06-14</t>
  </si>
  <si>
    <t>ORD-06-15</t>
  </si>
  <si>
    <t>ORD-06-16</t>
  </si>
  <si>
    <t>ORD-06-17</t>
  </si>
  <si>
    <t>ORD-06-18</t>
  </si>
  <si>
    <t>ORD-06-19</t>
  </si>
  <si>
    <t>ORD-06-20</t>
  </si>
  <si>
    <t>ORD-06-21</t>
  </si>
  <si>
    <t>ORD-06-22</t>
  </si>
  <si>
    <t>ORD-06-23</t>
  </si>
  <si>
    <t>ORD-06-24</t>
  </si>
  <si>
    <t>ORD-06-25</t>
  </si>
  <si>
    <t>ORD-06-26</t>
  </si>
  <si>
    <t>ORD-06-27</t>
  </si>
  <si>
    <t>ORD-06-28</t>
  </si>
  <si>
    <t>ORD-06-29</t>
  </si>
  <si>
    <t>ORD-06-30</t>
  </si>
  <si>
    <t>ORD-06-31</t>
  </si>
  <si>
    <t>ORD-06-32</t>
  </si>
  <si>
    <t>ORD-06-33</t>
  </si>
  <si>
    <t>ORD-06-34</t>
  </si>
  <si>
    <t>ORD-06-35</t>
  </si>
  <si>
    <t>ORD-06-36</t>
  </si>
  <si>
    <t>ORD-06-37</t>
  </si>
  <si>
    <t>ORD-06-38</t>
  </si>
  <si>
    <t>ORD-06-39</t>
  </si>
  <si>
    <t>ORD-06-40</t>
  </si>
  <si>
    <t>ORD-06-41</t>
  </si>
  <si>
    <t>ORD-06-42</t>
  </si>
  <si>
    <t>ORD-06-43</t>
  </si>
  <si>
    <t>ORD-06-44</t>
  </si>
  <si>
    <t>ORD-06-45</t>
  </si>
  <si>
    <t>ORD-06-46</t>
  </si>
  <si>
    <t>ORD-06-47</t>
  </si>
  <si>
    <t>ORD-06-48</t>
  </si>
  <si>
    <t>ORD-06-49</t>
  </si>
  <si>
    <t>ORD-06-50</t>
  </si>
  <si>
    <t>ORD-06-51</t>
  </si>
  <si>
    <t>ORD-06-52</t>
  </si>
  <si>
    <t>ORD-06-53</t>
  </si>
  <si>
    <t>ORD-06-54</t>
  </si>
  <si>
    <t>ORD-06-55</t>
  </si>
  <si>
    <t>ORD-06-56</t>
  </si>
  <si>
    <t>ORD-06-57</t>
  </si>
  <si>
    <t>ORD-06-58</t>
  </si>
  <si>
    <t>ORD-06-59</t>
  </si>
  <si>
    <t>ORD-06-60</t>
  </si>
  <si>
    <t>ORD-06-61</t>
  </si>
  <si>
    <t>ORD-06-62</t>
  </si>
  <si>
    <t>ORD-06-63</t>
  </si>
  <si>
    <t>ORD-06-64</t>
  </si>
  <si>
    <t>ORD-06-65</t>
  </si>
  <si>
    <t>ORD-06-66</t>
  </si>
  <si>
    <t>ORD-06-67</t>
  </si>
  <si>
    <t>ORD-06-68</t>
  </si>
  <si>
    <t>ORD-06-69</t>
  </si>
  <si>
    <t>ORD-06-70</t>
  </si>
  <si>
    <t>ORD-06-71</t>
  </si>
  <si>
    <t>ORD-06-72</t>
  </si>
  <si>
    <t>ORD-06-73</t>
  </si>
  <si>
    <t>ORD-06-74</t>
  </si>
  <si>
    <t>ORD-06-75</t>
  </si>
  <si>
    <t>ORD-06-76</t>
  </si>
  <si>
    <t>ORD-06-77</t>
  </si>
  <si>
    <t>ORD-06-78</t>
  </si>
  <si>
    <t>ORD-06-79</t>
  </si>
  <si>
    <t>ORD-06-80</t>
  </si>
  <si>
    <t>ORD-06-81</t>
  </si>
  <si>
    <t>ORD-06-82</t>
  </si>
  <si>
    <t>ORD-06-83</t>
  </si>
  <si>
    <t>ORD-06-84</t>
  </si>
  <si>
    <t>ORD-06-85</t>
  </si>
  <si>
    <t>ORD-06-86</t>
  </si>
  <si>
    <t>ORD-06-87</t>
  </si>
  <si>
    <t>ORD-06-88</t>
  </si>
  <si>
    <t>ORD-06-89</t>
  </si>
  <si>
    <t>ORD-06-90</t>
  </si>
  <si>
    <t>ORD-06-91</t>
  </si>
  <si>
    <t>ORD-06-92</t>
  </si>
  <si>
    <t>ORD-06-93</t>
  </si>
  <si>
    <t>ORD-06-94</t>
  </si>
  <si>
    <t>ORD-06-95</t>
  </si>
  <si>
    <t>ORD-06-96</t>
  </si>
  <si>
    <t>ORD-06-97</t>
  </si>
  <si>
    <t>ORD-06-98</t>
  </si>
  <si>
    <t>ORD-06-99</t>
  </si>
  <si>
    <t>ORD-06-100</t>
  </si>
  <si>
    <t>ORD-06-101</t>
  </si>
  <si>
    <t>ORD-06-102</t>
  </si>
  <si>
    <t>ORD-06-103</t>
  </si>
  <si>
    <t>ORD-06-104</t>
  </si>
  <si>
    <t>ORD-06-105</t>
  </si>
  <si>
    <t>ORD-06-106</t>
  </si>
  <si>
    <t>ORD-06-107</t>
  </si>
  <si>
    <t>ORD-06-108</t>
  </si>
  <si>
    <t>ORD-06-109</t>
  </si>
  <si>
    <t>ORD-06-110</t>
  </si>
  <si>
    <t>ORD-06-111</t>
  </si>
  <si>
    <t>ORD-06-112</t>
  </si>
  <si>
    <t>ORD-06-113</t>
  </si>
  <si>
    <t>ORD-06-114</t>
  </si>
  <si>
    <t>ORD-06-115</t>
  </si>
  <si>
    <t>ORD-06-116</t>
  </si>
  <si>
    <t>ORD-06-117</t>
  </si>
  <si>
    <t>ORD-06-118</t>
  </si>
  <si>
    <t>ORD-06-119</t>
  </si>
  <si>
    <t>ORD-06-120</t>
  </si>
  <si>
    <t>ORD-06-121</t>
  </si>
  <si>
    <t>ORD-06-122</t>
  </si>
  <si>
    <t>ORD-06-123</t>
  </si>
  <si>
    <t>ORD-06-124</t>
  </si>
  <si>
    <t>ORD-06-125</t>
  </si>
  <si>
    <t>ORD-06-126</t>
  </si>
  <si>
    <t>ORD-06-127</t>
  </si>
  <si>
    <t>ORD-06-128</t>
  </si>
  <si>
    <t>ORD-06-129</t>
  </si>
  <si>
    <t>ORD-06-130</t>
  </si>
  <si>
    <t>ORD-06-131</t>
  </si>
  <si>
    <t>ORD-06-132</t>
  </si>
  <si>
    <t>ORD-06-133</t>
  </si>
  <si>
    <t>ORD-06-134</t>
  </si>
  <si>
    <t>ORD-06-135</t>
  </si>
  <si>
    <t>ORD-06-136</t>
  </si>
  <si>
    <t>ORD-06-137</t>
  </si>
  <si>
    <t>ORD-06-138</t>
  </si>
  <si>
    <t>ORD-06-139</t>
  </si>
  <si>
    <t>ORD-06-140</t>
  </si>
  <si>
    <t>ORD-06-141</t>
  </si>
  <si>
    <t>ORD-06-142</t>
  </si>
  <si>
    <t>ORD-06-143</t>
  </si>
  <si>
    <t>ORD-06-144</t>
  </si>
  <si>
    <t>ORD-06-145</t>
  </si>
  <si>
    <t>ORD-06-146</t>
  </si>
  <si>
    <t>ORD-06-147</t>
  </si>
  <si>
    <t>ORD-06-148</t>
  </si>
  <si>
    <t>ORD-06-149</t>
  </si>
  <si>
    <t>ORD-06-150</t>
  </si>
  <si>
    <t>ORD-06-151</t>
  </si>
  <si>
    <t>ORD-06-152</t>
  </si>
  <si>
    <t>ORD-06-153</t>
  </si>
  <si>
    <t>ORD-06-154</t>
  </si>
  <si>
    <t>ORD-06-155</t>
  </si>
  <si>
    <t>ORD-06-156</t>
  </si>
  <si>
    <t>ORD-06-157</t>
  </si>
  <si>
    <t>ORD-06-158</t>
  </si>
  <si>
    <t>ORD-06-159</t>
  </si>
  <si>
    <t>ORD-06-160</t>
  </si>
  <si>
    <t>ORD-06-161</t>
  </si>
  <si>
    <t>ORD-06-162</t>
  </si>
  <si>
    <t>ORD-06-163</t>
  </si>
  <si>
    <t>ORD-06-164</t>
  </si>
  <si>
    <t>ORD-06-165</t>
  </si>
  <si>
    <t>ORD-06-166</t>
  </si>
  <si>
    <t>ORD-06-167</t>
  </si>
  <si>
    <t>ORD-06-168</t>
  </si>
  <si>
    <t>ORD-06-169</t>
  </si>
  <si>
    <t>ORD-06-170</t>
  </si>
  <si>
    <t>ORD-06-171</t>
  </si>
  <si>
    <t>ORD-06-172</t>
  </si>
  <si>
    <t>ORD-06-173</t>
  </si>
  <si>
    <t>ORD-06-174</t>
  </si>
  <si>
    <t>ORD-06-175</t>
  </si>
  <si>
    <t>ORD-06-176</t>
  </si>
  <si>
    <t>ORD-06-177</t>
  </si>
  <si>
    <t>ORD-06-178</t>
  </si>
  <si>
    <t>ORD-06-179</t>
  </si>
  <si>
    <t>ORD-06-180</t>
  </si>
  <si>
    <t>ORD-06-181</t>
  </si>
  <si>
    <t>ORD-06-182</t>
  </si>
  <si>
    <t>ORD-06-183</t>
  </si>
  <si>
    <t>ORD-06-184</t>
  </si>
  <si>
    <t>ORD-06-185</t>
  </si>
  <si>
    <t>ORD-06-186</t>
  </si>
  <si>
    <t>ORD-06-187</t>
  </si>
  <si>
    <t>ORD-06-188</t>
  </si>
  <si>
    <t>ORD-06-189</t>
  </si>
  <si>
    <t>ORD-06-190</t>
  </si>
  <si>
    <t>ORD-06-191</t>
  </si>
  <si>
    <t>ORD-06-192</t>
  </si>
  <si>
    <t>ORD-06-193</t>
  </si>
  <si>
    <t>ORD-06-194</t>
  </si>
  <si>
    <t>ORD-06-195</t>
  </si>
  <si>
    <t>ORD-06-196</t>
  </si>
  <si>
    <t>ORD-06-197</t>
  </si>
  <si>
    <t>ORD-06-198</t>
  </si>
  <si>
    <t>ORD-06-199</t>
  </si>
  <si>
    <t>ORD-06-200</t>
  </si>
  <si>
    <t>ORD-06-201</t>
  </si>
  <si>
    <t>ORD-06-202</t>
  </si>
  <si>
    <t>ORD-06-203</t>
  </si>
  <si>
    <t>ORD-06-204</t>
  </si>
  <si>
    <t>ORD-06-205</t>
  </si>
  <si>
    <t>ORD-06-206</t>
  </si>
  <si>
    <t>ORD-06-207</t>
  </si>
  <si>
    <t>ORD-06-208</t>
  </si>
  <si>
    <t>ORD-06-209</t>
  </si>
  <si>
    <t>ORD-06-210</t>
  </si>
  <si>
    <t>ORD-06-211</t>
  </si>
  <si>
    <t>ORD-06-212</t>
  </si>
  <si>
    <t>ORD-06-213</t>
  </si>
  <si>
    <t>ORD-06-214</t>
  </si>
  <si>
    <t>ORD-06-215</t>
  </si>
  <si>
    <t>ORD-06-216</t>
  </si>
  <si>
    <t>ORD-06-217</t>
  </si>
  <si>
    <t>ORD-06-218</t>
  </si>
  <si>
    <t>ORD-06-219</t>
  </si>
  <si>
    <t>ORD-06-220</t>
  </si>
  <si>
    <t>ORD-06-221</t>
  </si>
  <si>
    <t>ORD-06-222</t>
  </si>
  <si>
    <t>ORD-06-223</t>
  </si>
  <si>
    <t>ORD-06-224</t>
  </si>
  <si>
    <t>ORD-06-225</t>
  </si>
  <si>
    <t>ORD-06-226</t>
  </si>
  <si>
    <t>ORD-06-227</t>
  </si>
  <si>
    <t>ORD-06-228</t>
  </si>
  <si>
    <t>ORD-06-229</t>
  </si>
  <si>
    <t>ORD-06-230</t>
  </si>
  <si>
    <t>ORD-06-231</t>
  </si>
  <si>
    <t>ORD-06-232</t>
  </si>
  <si>
    <t>ORD-06-233</t>
  </si>
  <si>
    <t>ORD-06-234</t>
  </si>
  <si>
    <t>ORD-06-235</t>
  </si>
  <si>
    <t>ORD-06-236</t>
  </si>
  <si>
    <t>ORD-06-237</t>
  </si>
  <si>
    <t>ORD-06-238</t>
  </si>
  <si>
    <t>ORD-06-239</t>
  </si>
  <si>
    <t>ORD-06-240</t>
  </si>
  <si>
    <t>ORD-06-241</t>
  </si>
  <si>
    <t>ORD-06-242</t>
  </si>
  <si>
    <t>ORD-06-243</t>
  </si>
  <si>
    <t>ORD-06-244</t>
  </si>
  <si>
    <t>ORD-06-245</t>
  </si>
  <si>
    <t>ORD-06-246</t>
  </si>
  <si>
    <t>ORD-06-247</t>
  </si>
  <si>
    <t>ORD-06-248</t>
  </si>
  <si>
    <t>ORD-06-249</t>
  </si>
  <si>
    <t>ORD-06-250</t>
  </si>
  <si>
    <t>ORD-06-251</t>
  </si>
  <si>
    <t>ORD-06-252</t>
  </si>
  <si>
    <t>ORD-06-253</t>
  </si>
  <si>
    <t>ORD-06-254</t>
  </si>
  <si>
    <t>ORD-06-255</t>
  </si>
  <si>
    <t>ORD-06-256</t>
  </si>
  <si>
    <t>ORD-06-257</t>
  </si>
  <si>
    <t>ORD-06-258</t>
  </si>
  <si>
    <t>ORD-06-259</t>
  </si>
  <si>
    <t>ORD-06-260</t>
  </si>
  <si>
    <t>ORD-06-261</t>
  </si>
  <si>
    <t>ORD-06-262</t>
  </si>
  <si>
    <t>ORD-06-263</t>
  </si>
  <si>
    <t>ORD-06-264</t>
  </si>
  <si>
    <t>ORD-06-265</t>
  </si>
  <si>
    <t>ORD-06-266</t>
  </si>
  <si>
    <t>ORD-06-267</t>
  </si>
  <si>
    <t>ORD-06-268</t>
  </si>
  <si>
    <t>ORD-06-269</t>
  </si>
  <si>
    <t>ORD-06-270</t>
  </si>
  <si>
    <t>ORD-06-271</t>
  </si>
  <si>
    <t>ORD-06-272</t>
  </si>
  <si>
    <t>ORD-06-273</t>
  </si>
  <si>
    <t>ORD-06-274</t>
  </si>
  <si>
    <t>ORD-06-275</t>
  </si>
  <si>
    <t>ORD-06-276</t>
  </si>
  <si>
    <t>ORD-06-277</t>
  </si>
  <si>
    <t>ORD-06-278</t>
  </si>
  <si>
    <t>ORD-06-279</t>
  </si>
  <si>
    <t>ORD-06-280</t>
  </si>
  <si>
    <t>ORD-06-281</t>
  </si>
  <si>
    <t>ORD-06-282</t>
  </si>
  <si>
    <t>ORD-06-283</t>
  </si>
  <si>
    <t>ORD-06-284</t>
  </si>
  <si>
    <t>ORD-06-285</t>
  </si>
  <si>
    <t>ORD-06-286</t>
  </si>
  <si>
    <t>ORD-06-287</t>
  </si>
  <si>
    <t>ORD-06-288</t>
  </si>
  <si>
    <t>ORD-06-289</t>
  </si>
  <si>
    <t>ORD-06-290</t>
  </si>
  <si>
    <t>ORD-06-291</t>
  </si>
  <si>
    <t>ORD-06-292</t>
  </si>
  <si>
    <t>ORD-06-293</t>
  </si>
  <si>
    <t>ORD-06-294</t>
  </si>
  <si>
    <t>ORD-06-295</t>
  </si>
  <si>
    <t>ORD-06-296</t>
  </si>
  <si>
    <t>ORD-06-297</t>
  </si>
  <si>
    <t>ORD-06-298</t>
  </si>
  <si>
    <t>ORD-06-299</t>
  </si>
  <si>
    <t>ORD-06-300</t>
  </si>
  <si>
    <t>ORD-06-301</t>
  </si>
  <si>
    <t>ORD-06-302</t>
  </si>
  <si>
    <t>ORD-06-303</t>
  </si>
  <si>
    <t>ORD-06-304</t>
  </si>
  <si>
    <t>ORD-06-305</t>
  </si>
  <si>
    <t>ORD-06-306</t>
  </si>
  <si>
    <t>ORD-06-307</t>
  </si>
  <si>
    <t>ORD-06-308</t>
  </si>
  <si>
    <t>ORD-06-309</t>
  </si>
  <si>
    <t>ORD-06-310</t>
  </si>
  <si>
    <t>ORD-06-311</t>
  </si>
  <si>
    <t>ORD-06-312</t>
  </si>
  <si>
    <t>ORD-06-313</t>
  </si>
  <si>
    <t>ORD-06-314</t>
  </si>
  <si>
    <t>ORD-06-315</t>
  </si>
  <si>
    <t>ORD-06-316</t>
  </si>
  <si>
    <t>ORD-06-317</t>
  </si>
  <si>
    <t>ORD-06-318</t>
  </si>
  <si>
    <t>ORD-06-319</t>
  </si>
  <si>
    <t>ORD-06-320</t>
  </si>
  <si>
    <t>ORD-06-321</t>
  </si>
  <si>
    <t>ORD-06-322</t>
  </si>
  <si>
    <t>ORD-06-323</t>
  </si>
  <si>
    <t>ORD-07-0</t>
  </si>
  <si>
    <t>ORD-07-1</t>
  </si>
  <si>
    <t>ORD-07-2</t>
  </si>
  <si>
    <t>ORD-07-3</t>
  </si>
  <si>
    <t>ORD-07-4</t>
  </si>
  <si>
    <t>ORD-07-5</t>
  </si>
  <si>
    <t>ORD-07-6</t>
  </si>
  <si>
    <t>ORD-07-7</t>
  </si>
  <si>
    <t>ORD-07-8</t>
  </si>
  <si>
    <t>ORD-07-9</t>
  </si>
  <si>
    <t>ORD-07-10</t>
  </si>
  <si>
    <t>ORD-07-11</t>
  </si>
  <si>
    <t>ORD-07-12</t>
  </si>
  <si>
    <t>ORD-07-13</t>
  </si>
  <si>
    <t>ORD-07-14</t>
  </si>
  <si>
    <t>ORD-07-15</t>
  </si>
  <si>
    <t>ORD-07-16</t>
  </si>
  <si>
    <t>ORD-07-17</t>
  </si>
  <si>
    <t>ORD-07-18</t>
  </si>
  <si>
    <t>ORD-07-19</t>
  </si>
  <si>
    <t>ORD-07-20</t>
  </si>
  <si>
    <t>ORD-07-21</t>
  </si>
  <si>
    <t>ORD-07-22</t>
  </si>
  <si>
    <t>ORD-07-23</t>
  </si>
  <si>
    <t>ORD-07-24</t>
  </si>
  <si>
    <t>ORD-07-25</t>
  </si>
  <si>
    <t>ORD-07-26</t>
  </si>
  <si>
    <t>ORD-07-27</t>
  </si>
  <si>
    <t>ORD-07-28</t>
  </si>
  <si>
    <t>ORD-07-29</t>
  </si>
  <si>
    <t>ORD-07-30</t>
  </si>
  <si>
    <t>ORD-07-31</t>
  </si>
  <si>
    <t>ORD-07-32</t>
  </si>
  <si>
    <t>ORD-07-33</t>
  </si>
  <si>
    <t>ORD-07-34</t>
  </si>
  <si>
    <t>ORD-07-35</t>
  </si>
  <si>
    <t>ORD-07-36</t>
  </si>
  <si>
    <t>ORD-07-37</t>
  </si>
  <si>
    <t>ORD-07-38</t>
  </si>
  <si>
    <t>ORD-07-39</t>
  </si>
  <si>
    <t>ORD-07-40</t>
  </si>
  <si>
    <t>ORD-07-41</t>
  </si>
  <si>
    <t>ORD-07-42</t>
  </si>
  <si>
    <t>ORD-07-43</t>
  </si>
  <si>
    <t>ORD-07-44</t>
  </si>
  <si>
    <t>ORD-07-45</t>
  </si>
  <si>
    <t>ORD-07-46</t>
  </si>
  <si>
    <t>ORD-07-47</t>
  </si>
  <si>
    <t>ORD-07-48</t>
  </si>
  <si>
    <t>ORD-07-49</t>
  </si>
  <si>
    <t>ORD-07-50</t>
  </si>
  <si>
    <t>ORD-07-51</t>
  </si>
  <si>
    <t>ORD-07-52</t>
  </si>
  <si>
    <t>ORD-07-53</t>
  </si>
  <si>
    <t>ORD-07-54</t>
  </si>
  <si>
    <t>ORD-07-55</t>
  </si>
  <si>
    <t>ORD-07-56</t>
  </si>
  <si>
    <t>ORD-07-57</t>
  </si>
  <si>
    <t>ORD-07-58</t>
  </si>
  <si>
    <t>ORD-07-59</t>
  </si>
  <si>
    <t>ORD-07-60</t>
  </si>
  <si>
    <t>ORD-07-61</t>
  </si>
  <si>
    <t>ORD-07-62</t>
  </si>
  <si>
    <t>ORD-07-63</t>
  </si>
  <si>
    <t>ORD-07-64</t>
  </si>
  <si>
    <t>ORD-07-65</t>
  </si>
  <si>
    <t>ORD-07-66</t>
  </si>
  <si>
    <t>ORD-07-67</t>
  </si>
  <si>
    <t>ORD-07-68</t>
  </si>
  <si>
    <t>ORD-07-69</t>
  </si>
  <si>
    <t>ORD-07-70</t>
  </si>
  <si>
    <t>ORD-07-71</t>
  </si>
  <si>
    <t>ORD-07-72</t>
  </si>
  <si>
    <t>ORD-07-73</t>
  </si>
  <si>
    <t>ORD-07-74</t>
  </si>
  <si>
    <t>ORD-07-75</t>
  </si>
  <si>
    <t>ORD-07-76</t>
  </si>
  <si>
    <t>ORD-07-77</t>
  </si>
  <si>
    <t>ORD-07-78</t>
  </si>
  <si>
    <t>ORD-07-79</t>
  </si>
  <si>
    <t>ORD-07-80</t>
  </si>
  <si>
    <t>ORD-07-81</t>
  </si>
  <si>
    <t>ORD-07-82</t>
  </si>
  <si>
    <t>ORD-07-83</t>
  </si>
  <si>
    <t>ORD-07-84</t>
  </si>
  <si>
    <t>ORD-07-85</t>
  </si>
  <si>
    <t>ORD-07-86</t>
  </si>
  <si>
    <t>ORD-07-87</t>
  </si>
  <si>
    <t>ORD-07-88</t>
  </si>
  <si>
    <t>ORD-07-89</t>
  </si>
  <si>
    <t>ORD-07-90</t>
  </si>
  <si>
    <t>ORD-07-91</t>
  </si>
  <si>
    <t>ORD-07-92</t>
  </si>
  <si>
    <t>ORD-07-93</t>
  </si>
  <si>
    <t>ORD-07-94</t>
  </si>
  <si>
    <t>ORD-07-95</t>
  </si>
  <si>
    <t>ORD-07-96</t>
  </si>
  <si>
    <t>ORD-07-97</t>
  </si>
  <si>
    <t>ORD-07-98</t>
  </si>
  <si>
    <t>ORD-07-99</t>
  </si>
  <si>
    <t>ORD-07-100</t>
  </si>
  <si>
    <t>ORD-07-101</t>
  </si>
  <si>
    <t>ORD-07-102</t>
  </si>
  <si>
    <t>ORD-07-103</t>
  </si>
  <si>
    <t>ORD-07-104</t>
  </si>
  <si>
    <t>ORD-07-105</t>
  </si>
  <si>
    <t>ORD-07-106</t>
  </si>
  <si>
    <t>ORD-07-107</t>
  </si>
  <si>
    <t>ORD-07-108</t>
  </si>
  <si>
    <t>ORD-07-109</t>
  </si>
  <si>
    <t>ORD-07-110</t>
  </si>
  <si>
    <t>ORD-07-111</t>
  </si>
  <si>
    <t>ORD-07-112</t>
  </si>
  <si>
    <t>ORD-07-113</t>
  </si>
  <si>
    <t>ORD-07-114</t>
  </si>
  <si>
    <t>ORD-07-115</t>
  </si>
  <si>
    <t>ORD-07-116</t>
  </si>
  <si>
    <t>ORD-07-117</t>
  </si>
  <si>
    <t>ORD-07-118</t>
  </si>
  <si>
    <t>ORD-07-119</t>
  </si>
  <si>
    <t>ORD-07-120</t>
  </si>
  <si>
    <t>ORD-07-121</t>
  </si>
  <si>
    <t>ORD-07-122</t>
  </si>
  <si>
    <t>ORD-07-123</t>
  </si>
  <si>
    <t>ORD-07-124</t>
  </si>
  <si>
    <t>ORD-07-125</t>
  </si>
  <si>
    <t>ORD-07-126</t>
  </si>
  <si>
    <t>ORD-07-127</t>
  </si>
  <si>
    <t>ORD-07-128</t>
  </si>
  <si>
    <t>ORD-07-129</t>
  </si>
  <si>
    <t>ORD-07-130</t>
  </si>
  <si>
    <t>ORD-07-131</t>
  </si>
  <si>
    <t>ORD-07-132</t>
  </si>
  <si>
    <t>ORD-07-133</t>
  </si>
  <si>
    <t>ORD-07-134</t>
  </si>
  <si>
    <t>ORD-07-135</t>
  </si>
  <si>
    <t>ORD-07-136</t>
  </si>
  <si>
    <t>ORD-07-137</t>
  </si>
  <si>
    <t>ORD-07-138</t>
  </si>
  <si>
    <t>ORD-07-139</t>
  </si>
  <si>
    <t>ORD-07-140</t>
  </si>
  <si>
    <t>ORD-07-141</t>
  </si>
  <si>
    <t>ORD-07-142</t>
  </si>
  <si>
    <t>ORD-07-143</t>
  </si>
  <si>
    <t>ORD-07-144</t>
  </si>
  <si>
    <t>ORD-07-145</t>
  </si>
  <si>
    <t>ORD-07-146</t>
  </si>
  <si>
    <t>ORD-07-147</t>
  </si>
  <si>
    <t>ORD-07-148</t>
  </si>
  <si>
    <t>ORD-07-149</t>
  </si>
  <si>
    <t>ORD-07-150</t>
  </si>
  <si>
    <t>ORD-07-151</t>
  </si>
  <si>
    <t>ORD-07-152</t>
  </si>
  <si>
    <t>ORD-07-153</t>
  </si>
  <si>
    <t>ORD-07-154</t>
  </si>
  <si>
    <t>ORD-07-155</t>
  </si>
  <si>
    <t>ORD-07-156</t>
  </si>
  <si>
    <t>ORD-07-157</t>
  </si>
  <si>
    <t>ORD-07-158</t>
  </si>
  <si>
    <t>ORD-07-159</t>
  </si>
  <si>
    <t>ORD-07-160</t>
  </si>
  <si>
    <t>ORD-07-161</t>
  </si>
  <si>
    <t>ORD-07-162</t>
  </si>
  <si>
    <t>ORD-07-163</t>
  </si>
  <si>
    <t>ORD-07-164</t>
  </si>
  <si>
    <t>ORD-07-165</t>
  </si>
  <si>
    <t>ORD-07-166</t>
  </si>
  <si>
    <t>ORD-07-167</t>
  </si>
  <si>
    <t>ORD-07-168</t>
  </si>
  <si>
    <t>ORD-07-169</t>
  </si>
  <si>
    <t>ORD-07-170</t>
  </si>
  <si>
    <t>ORD-07-171</t>
  </si>
  <si>
    <t>ORD-07-172</t>
  </si>
  <si>
    <t>ORD-07-173</t>
  </si>
  <si>
    <t>ORD-07-174</t>
  </si>
  <si>
    <t>ORD-07-175</t>
  </si>
  <si>
    <t>ORD-07-176</t>
  </si>
  <si>
    <t>ORD-07-177</t>
  </si>
  <si>
    <t>ORD-07-178</t>
  </si>
  <si>
    <t>ORD-07-179</t>
  </si>
  <si>
    <t>ORD-07-180</t>
  </si>
  <si>
    <t>ORD-07-181</t>
  </si>
  <si>
    <t>ORD-07-182</t>
  </si>
  <si>
    <t>ORD-07-183</t>
  </si>
  <si>
    <t>ORD-07-184</t>
  </si>
  <si>
    <t>ORD-07-185</t>
  </si>
  <si>
    <t>ORD-07-186</t>
  </si>
  <si>
    <t>ORD-07-187</t>
  </si>
  <si>
    <t>ORD-07-188</t>
  </si>
  <si>
    <t>ORD-07-189</t>
  </si>
  <si>
    <t>ORD-07-190</t>
  </si>
  <si>
    <t>ORD-07-191</t>
  </si>
  <si>
    <t>ORD-07-192</t>
  </si>
  <si>
    <t>ORD-07-193</t>
  </si>
  <si>
    <t>ORD-07-194</t>
  </si>
  <si>
    <t>ORD-07-195</t>
  </si>
  <si>
    <t>ORD-07-196</t>
  </si>
  <si>
    <t>ORD-07-197</t>
  </si>
  <si>
    <t>ORD-07-198</t>
  </si>
  <si>
    <t>ORD-07-199</t>
  </si>
  <si>
    <t>ORD-07-200</t>
  </si>
  <si>
    <t>ORD-07-201</t>
  </si>
  <si>
    <t>ORD-07-202</t>
  </si>
  <si>
    <t>ORD-07-203</t>
  </si>
  <si>
    <t>ORD-07-204</t>
  </si>
  <si>
    <t>ORD-07-205</t>
  </si>
  <si>
    <t>ORD-07-206</t>
  </si>
  <si>
    <t>ORD-07-207</t>
  </si>
  <si>
    <t>ORD-07-208</t>
  </si>
  <si>
    <t>ORD-07-209</t>
  </si>
  <si>
    <t>ORD-07-210</t>
  </si>
  <si>
    <t>ORD-07-211</t>
  </si>
  <si>
    <t>ORD-07-212</t>
  </si>
  <si>
    <t>ORD-07-213</t>
  </si>
  <si>
    <t>ORD-07-214</t>
  </si>
  <si>
    <t>ORD-07-215</t>
  </si>
  <si>
    <t>ORD-07-216</t>
  </si>
  <si>
    <t>ORD-07-217</t>
  </si>
  <si>
    <t>ORD-07-218</t>
  </si>
  <si>
    <t>ORD-07-219</t>
  </si>
  <si>
    <t>ORD-07-220</t>
  </si>
  <si>
    <t>ORD-07-221</t>
  </si>
  <si>
    <t>ORD-07-222</t>
  </si>
  <si>
    <t>ORD-07-223</t>
  </si>
  <si>
    <t>ORD-07-224</t>
  </si>
  <si>
    <t>ORD-07-225</t>
  </si>
  <si>
    <t>ORD-07-226</t>
  </si>
  <si>
    <t>ORD-07-227</t>
  </si>
  <si>
    <t>ORD-07-228</t>
  </si>
  <si>
    <t>ORD-07-229</t>
  </si>
  <si>
    <t>ORD-07-230</t>
  </si>
  <si>
    <t>ORD-07-231</t>
  </si>
  <si>
    <t>ORD-07-232</t>
  </si>
  <si>
    <t>ORD-07-233</t>
  </si>
  <si>
    <t>ORD-07-234</t>
  </si>
  <si>
    <t>ORD-07-235</t>
  </si>
  <si>
    <t>ORD-07-236</t>
  </si>
  <si>
    <t>ORD-07-237</t>
  </si>
  <si>
    <t>ORD-07-238</t>
  </si>
  <si>
    <t>ORD-07-239</t>
  </si>
  <si>
    <t>ORD-07-240</t>
  </si>
  <si>
    <t>ORD-07-241</t>
  </si>
  <si>
    <t>ORD-07-242</t>
  </si>
  <si>
    <t>ORD-07-243</t>
  </si>
  <si>
    <t>ORD-07-244</t>
  </si>
  <si>
    <t>ORD-07-245</t>
  </si>
  <si>
    <t>ORD-07-246</t>
  </si>
  <si>
    <t>ORD-07-247</t>
  </si>
  <si>
    <t>ORD-07-248</t>
  </si>
  <si>
    <t>ORD-07-249</t>
  </si>
  <si>
    <t>ORD-07-250</t>
  </si>
  <si>
    <t>ORD-07-251</t>
  </si>
  <si>
    <t>ORD-07-252</t>
  </si>
  <si>
    <t>ORD-07-253</t>
  </si>
  <si>
    <t>ORD-07-254</t>
  </si>
  <si>
    <t>ORD-07-255</t>
  </si>
  <si>
    <t>ORD-07-256</t>
  </si>
  <si>
    <t>ORD-07-257</t>
  </si>
  <si>
    <t>ORD-07-258</t>
  </si>
  <si>
    <t>ORD-07-259</t>
  </si>
  <si>
    <t>ORD-07-260</t>
  </si>
  <si>
    <t>ORD-07-261</t>
  </si>
  <si>
    <t>ORD-07-262</t>
  </si>
  <si>
    <t>ORD-07-263</t>
  </si>
  <si>
    <t>ORD-07-264</t>
  </si>
  <si>
    <t>ORD-07-265</t>
  </si>
  <si>
    <t>ORD-07-266</t>
  </si>
  <si>
    <t>ORD-07-267</t>
  </si>
  <si>
    <t>ORD-07-268</t>
  </si>
  <si>
    <t>ORD-07-269</t>
  </si>
  <si>
    <t>ORD-07-270</t>
  </si>
  <si>
    <t>ORD-07-271</t>
  </si>
  <si>
    <t>ORD-07-272</t>
  </si>
  <si>
    <t>ORD-07-273</t>
  </si>
  <si>
    <t>ORD-07-274</t>
  </si>
  <si>
    <t>ORD-07-275</t>
  </si>
  <si>
    <t>ORD-07-276</t>
  </si>
  <si>
    <t>ORD-07-277</t>
  </si>
  <si>
    <t>ORD-07-278</t>
  </si>
  <si>
    <t>ORD-07-279</t>
  </si>
  <si>
    <t>ORD-07-280</t>
  </si>
  <si>
    <t>ORD-07-281</t>
  </si>
  <si>
    <t>ORD-07-282</t>
  </si>
  <si>
    <t>ORD-07-283</t>
  </si>
  <si>
    <t>ORD-07-284</t>
  </si>
  <si>
    <t>ORD-07-285</t>
  </si>
  <si>
    <t>ORD-07-286</t>
  </si>
  <si>
    <t>ORD-07-287</t>
  </si>
  <si>
    <t>ORD-07-288</t>
  </si>
  <si>
    <t>ORD-07-289</t>
  </si>
  <si>
    <t>ORD-07-290</t>
  </si>
  <si>
    <t>ORD-07-291</t>
  </si>
  <si>
    <t>ORD-07-292</t>
  </si>
  <si>
    <t>ORD-07-293</t>
  </si>
  <si>
    <t>ORD-07-294</t>
  </si>
  <si>
    <t>ORD-07-295</t>
  </si>
  <si>
    <t>ORD-07-296</t>
  </si>
  <si>
    <t>ORD-07-297</t>
  </si>
  <si>
    <t>ORD-07-298</t>
  </si>
  <si>
    <t>ORD-07-299</t>
  </si>
  <si>
    <t>ORD-07-300</t>
  </si>
  <si>
    <t>ORD-07-301</t>
  </si>
  <si>
    <t>ORD-07-302</t>
  </si>
  <si>
    <t>ORD-07-303</t>
  </si>
  <si>
    <t>ORD-07-304</t>
  </si>
  <si>
    <t>ORD-07-305</t>
  </si>
  <si>
    <t>ORD-07-306</t>
  </si>
  <si>
    <t>ORD-07-307</t>
  </si>
  <si>
    <t>ORD-07-308</t>
  </si>
  <si>
    <t>ORD-07-309</t>
  </si>
  <si>
    <t>ORD-07-310</t>
  </si>
  <si>
    <t>ORD-07-311</t>
  </si>
  <si>
    <t>ORD-07-312</t>
  </si>
  <si>
    <t>ORD-07-313</t>
  </si>
  <si>
    <t>ORD-07-314</t>
  </si>
  <si>
    <t>ORD-07-315</t>
  </si>
  <si>
    <t>ORD-07-316</t>
  </si>
  <si>
    <t>ORD-07-317</t>
  </si>
  <si>
    <t>ORD-07-318</t>
  </si>
  <si>
    <t>ORD-07-319</t>
  </si>
  <si>
    <t>ORD-07-320</t>
  </si>
  <si>
    <t>ORD-07-321</t>
  </si>
  <si>
    <t>ORD-07-322</t>
  </si>
  <si>
    <t>ORD-07-323</t>
  </si>
  <si>
    <t>Index</t>
  </si>
  <si>
    <t>Population (2025)[3]</t>
  </si>
  <si>
    <t>Population(2011)[4]</t>
  </si>
  <si>
    <t>Population(2001)[4][a]</t>
  </si>
  <si>
    <t>State or unionterritory</t>
  </si>
  <si>
    <t>Maharashtra</t>
  </si>
  <si>
    <t>Bengaluru</t>
  </si>
  <si>
    <t>Karnataka</t>
  </si>
  <si>
    <t>Telangana</t>
  </si>
  <si>
    <t>Ahmedabad</t>
  </si>
  <si>
    <t>Gujarat</t>
  </si>
  <si>
    <t>Tamil Nadu</t>
  </si>
  <si>
    <t>West Bengal</t>
  </si>
  <si>
    <t>Surat</t>
  </si>
  <si>
    <t>Jaipur</t>
  </si>
  <si>
    <t>Rajasthan</t>
  </si>
  <si>
    <t>Lucknow</t>
  </si>
  <si>
    <t>Uttar Pradesh</t>
  </si>
  <si>
    <t>Kanpur</t>
  </si>
  <si>
    <t>Nagpur</t>
  </si>
  <si>
    <t>Indore</t>
  </si>
  <si>
    <t>Madhya Pradesh</t>
  </si>
  <si>
    <t>Thane</t>
  </si>
  <si>
    <t>Bhopal</t>
  </si>
  <si>
    <t>Visakhapatnam</t>
  </si>
  <si>
    <t>Andhra Pradesh</t>
  </si>
  <si>
    <t>Pimpri-Chinchwad</t>
  </si>
  <si>
    <t>Patna</t>
  </si>
  <si>
    <t>Bihar</t>
  </si>
  <si>
    <t>Vadodara</t>
  </si>
  <si>
    <t>Ghaziabad</t>
  </si>
  <si>
    <t>Ludhiana</t>
  </si>
  <si>
    <t>Punjab</t>
  </si>
  <si>
    <t>Agra</t>
  </si>
  <si>
    <t>Nashik</t>
  </si>
  <si>
    <t>Faridabad</t>
  </si>
  <si>
    <t>Haryana</t>
  </si>
  <si>
    <t>Meerut</t>
  </si>
  <si>
    <t>Rajkot</t>
  </si>
  <si>
    <t>Kalyan-Dombivli</t>
  </si>
  <si>
    <t>Vasai-Virar</t>
  </si>
  <si>
    <t>Varanasi</t>
  </si>
  <si>
    <t>Srinagar</t>
  </si>
  <si>
    <t>Jammu and Kashmir</t>
  </si>
  <si>
    <t>Aurangabad</t>
  </si>
  <si>
    <t>Dhanbad</t>
  </si>
  <si>
    <t>Jharkhand</t>
  </si>
  <si>
    <t>Amritsar</t>
  </si>
  <si>
    <t>Navi Mumbai</t>
  </si>
  <si>
    <t>Prayagraj</t>
  </si>
  <si>
    <t>Howrah</t>
  </si>
  <si>
    <t>Ranchi</t>
  </si>
  <si>
    <t>Jabalpur</t>
  </si>
  <si>
    <t>Gwalior</t>
  </si>
  <si>
    <t>Coimbatore</t>
  </si>
  <si>
    <t>Vijayawada</t>
  </si>
  <si>
    <t>Jodhpur</t>
  </si>
  <si>
    <t>Madurai</t>
  </si>
  <si>
    <t>Raipur</t>
  </si>
  <si>
    <t>Chhattisgarh</t>
  </si>
  <si>
    <t>Kota</t>
  </si>
  <si>
    <t>Wireless Keyboard Combo,ORD1012,1,54.49</t>
  </si>
  <si>
    <t>Laptop Cooling Pad,ORD1012,2,21.99</t>
  </si>
  <si>
    <t>Gaming Mouse Pad XL,ORD1013,1,17.99</t>
  </si>
  <si>
    <t>Smart LED Strip,ORD1013,2,26.49</t>
  </si>
  <si>
    <t>Mini Projector,ORD1014,1,199.00</t>
  </si>
  <si>
    <t>Wireless Charging Pad,ORD1014,3,18.50</t>
  </si>
  <si>
    <t>Bluetooth Headset,ORD1015,2,49.99</t>
  </si>
  <si>
    <t>Desk Organizer,ORD1015,1,14.99</t>
  </si>
  <si>
    <t>Portable Bluetooth Speaker,ORD1016,1,39.00</t>
  </si>
  <si>
    <t>Wi-Fi Range Extender,ORD1016,1,44.99</t>
  </si>
  <si>
    <t>Smart Plug,ORD1017,3,15.49</t>
  </si>
  <si>
    <t>Laptop Sleeve 15",ORD1017,2,19.99</t>
  </si>
  <si>
    <t>HD Webcam Pro,ORD1018,1,59.49</t>
  </si>
  <si>
    <t>Monitor Arm,ORD1018,1,89.99</t>
  </si>
  <si>
    <t>Ergonomic Mouse Pad,ORD1019,2,12.99</t>
  </si>
  <si>
    <t>Smart Home Hub,ORD1019,1,99.00</t>
  </si>
  <si>
    <t>Noise Filter Microphone,ORD1020,1,49.99</t>
  </si>
  <si>
    <t>USB-C Docking Station,ORD1020,1,79.00</t>
  </si>
  <si>
    <t>Wall Mount Holder,ORD1016,2,11.99</t>
  </si>
  <si>
    <t>Cable Adapter,ORD1017,3,5.99</t>
  </si>
  <si>
    <t>Wireless Presenter,ORD1018,1,29.99</t>
  </si>
  <si>
    <t>HDMI Switch,ORD1019,1,32.99</t>
  </si>
  <si>
    <t>Smart Light Bulb,ORD1020,2,15.49</t>
  </si>
  <si>
    <t>Wireless Mouse</t>
  </si>
  <si>
    <t>ORD1001</t>
  </si>
  <si>
    <t>Bluetooth Keyboard</t>
  </si>
  <si>
    <t>ORD1002</t>
  </si>
  <si>
    <t>USB-C Charger</t>
  </si>
  <si>
    <t>ORD1003</t>
  </si>
  <si>
    <t>Noise Cancelling Headphones</t>
  </si>
  <si>
    <t>ORD1004</t>
  </si>
  <si>
    <t>Laptop Stand</t>
  </si>
  <si>
    <t>ORD1005</t>
  </si>
  <si>
    <t>Webcam HD</t>
  </si>
  <si>
    <t>ORD1006</t>
  </si>
  <si>
    <t>External Hard Drive 1TB</t>
  </si>
  <si>
    <t>ORD1007</t>
  </si>
  <si>
    <t>Gaming Monitor 27"</t>
  </si>
  <si>
    <t>ORD1008</t>
  </si>
  <si>
    <t>Mechanical Keyboard</t>
  </si>
  <si>
    <t>ORD1009</t>
  </si>
  <si>
    <t>Ergonomic Chair</t>
  </si>
  <si>
    <t>ORD1010</t>
  </si>
  <si>
    <t>Wireless Earbuds</t>
  </si>
  <si>
    <t>ORD1011</t>
  </si>
  <si>
    <t>Portable SSD 512GB</t>
  </si>
  <si>
    <t>ORD1012</t>
  </si>
  <si>
    <t>Smartphone Tripod</t>
  </si>
  <si>
    <t>ORD1013</t>
  </si>
  <si>
    <t>Desk Lamp LED</t>
  </si>
  <si>
    <t>ORD1014</t>
  </si>
  <si>
    <t>HDMI Cable 2m</t>
  </si>
  <si>
    <t>ORD1015</t>
  </si>
  <si>
    <t>Office Desk Mat</t>
  </si>
  <si>
    <t>ORD1016</t>
  </si>
  <si>
    <t>Graphic Tablet</t>
  </si>
  <si>
    <t>ORD1017</t>
  </si>
  <si>
    <t>Smartwatch</t>
  </si>
  <si>
    <t>ORD1018</t>
  </si>
  <si>
    <t>Bluetooth Speaker</t>
  </si>
  <si>
    <t>ORD1019</t>
  </si>
  <si>
    <t>Wireless Router</t>
  </si>
  <si>
    <t>ORD1020</t>
  </si>
  <si>
    <t>Total Bill</t>
  </si>
  <si>
    <t>Stylus Pen</t>
  </si>
  <si>
    <t>Ethernet Cable 5m</t>
  </si>
  <si>
    <t>USB Hub 4-Port</t>
  </si>
  <si>
    <t>Portable Power Bank</t>
  </si>
  <si>
    <t>Phone Charger Cable</t>
  </si>
  <si>
    <t>Wireless Keyboard Combo</t>
  </si>
  <si>
    <t>Laptop Cooling Pad</t>
  </si>
  <si>
    <t>Desk Mouse Mat</t>
  </si>
  <si>
    <t>Gaming Mouse Pad XL</t>
  </si>
  <si>
    <t>Smart LED Strip</t>
  </si>
  <si>
    <t>Cable Clips Set</t>
  </si>
  <si>
    <t>Mini Projector</t>
  </si>
  <si>
    <t>Wireless Charging Pad</t>
  </si>
  <si>
    <t>Tripod Bag</t>
  </si>
  <si>
    <t>Bluetooth Headset</t>
  </si>
  <si>
    <t>Desk Organizer</t>
  </si>
  <si>
    <t>Notebook Stand</t>
  </si>
  <si>
    <t>macro name: formatting_data_cleaning</t>
  </si>
  <si>
    <t>shortcut key: ctrl+m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</si>
</sst>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0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45066682943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0" xfId="0" applyFont="1" applyFill="1"/>
    <xf numFmtId="0" fontId="0" fillId="4" borderId="0" xfId="0" applyFill="1"/>
    <xf numFmtId="0" fontId="0" fillId="5" borderId="2" xfId="0" applyFill="1" applyBorder="1"/>
    <xf numFmtId="0" fontId="0" fillId="6" borderId="2" xfId="0" applyFill="1" applyBorder="1"/>
    <xf numFmtId="0" fontId="0" fillId="6" borderId="3" xfId="0" applyFill="1" applyBorder="1"/>
    <xf numFmtId="0" fontId="0" fillId="7" borderId="0" xfId="0" applyFill="1"/>
    <xf numFmtId="0" fontId="0" fillId="8" borderId="1" xfId="0" applyFill="1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9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9" fillId="0" borderId="1" xfId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" fillId="9" borderId="0" xfId="0" applyFont="1" applyFill="1"/>
    <xf numFmtId="0" fontId="0" fillId="9" borderId="0" xfId="0" applyFill="1"/>
    <xf numFmtId="14" fontId="0" fillId="0" borderId="0" xfId="0" applyNumberFormat="1"/>
    <xf numFmtId="0" fontId="0" fillId="2" borderId="1" xfId="0" applyFill="1" applyBorder="1"/>
    <xf numFmtId="0" fontId="1" fillId="0" borderId="1" xfId="0" applyFont="1" applyBorder="1"/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1" xfId="0" applyFont="1" applyFill="1" applyBorder="1"/>
    <xf numFmtId="0" fontId="0" fillId="0" borderId="6" xfId="0" applyBorder="1"/>
    <xf numFmtId="0" fontId="0" fillId="0" borderId="7" xfId="0" applyBorder="1"/>
    <xf numFmtId="0" fontId="1" fillId="2" borderId="4" xfId="0" applyFont="1" applyFill="1" applyBorder="1"/>
    <xf numFmtId="0" fontId="0" fillId="0" borderId="4" xfId="0" applyBorder="1"/>
    <xf numFmtId="0" fontId="1" fillId="10" borderId="4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0" borderId="7" xfId="0" applyFont="1" applyBorder="1"/>
  </cellXfs>
  <cellStyles count="2">
    <cellStyle name="Hyperlink" xfId="1" builtinId="8"/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F7AEA0A-3615-4038-A5C6-407D3679638C}" autoFormatId="16" applyNumberFormats="0" applyBorderFormats="0" applyFontFormats="0" applyPatternFormats="0" applyAlignmentFormats="0" applyWidthHeightFormats="0">
  <queryTableRefresh nextId="7">
    <queryTableFields count="6">
      <queryTableField id="1" name="Order Id" tableColumnId="1"/>
      <queryTableField id="2" name="Date" tableColumnId="2"/>
      <queryTableField id="3" name="Product Id" tableColumnId="3"/>
      <queryTableField id="4" name="Quantity" tableColumnId="4"/>
      <queryTableField id="5" name="Price" tableColumnId="5"/>
      <queryTableField id="6" name="Total Sale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ADE00D4-24DE-4E8D-B119-7D0E726176EC}" autoFormatId="16" applyNumberFormats="0" applyBorderFormats="0" applyFontFormats="0" applyPatternFormats="0" applyAlignmentFormats="0" applyWidthHeightFormats="0">
  <queryTableRefresh nextId="7">
    <queryTableFields count="6">
      <queryTableField id="1" name="Order Id" tableColumnId="1"/>
      <queryTableField id="2" name="Date" tableColumnId="2"/>
      <queryTableField id="3" name="Product Id" tableColumnId="3"/>
      <queryTableField id="4" name="Quantity" tableColumnId="4"/>
      <queryTableField id="5" name="Price" tableColumnId="5"/>
      <queryTableField id="6" name="Total Sale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12C3A02-36E9-455C-BDD5-0ECC9DD62931}" autoFormatId="16" applyNumberFormats="0" applyBorderFormats="0" applyFontFormats="0" applyPatternFormats="0" applyAlignmentFormats="0" applyWidthHeightFormats="0">
  <queryTableRefresh nextId="7">
    <queryTableFields count="6">
      <queryTableField id="1" name="Order Id" tableColumnId="1"/>
      <queryTableField id="2" name="Date" tableColumnId="2"/>
      <queryTableField id="3" name="Product Id" tableColumnId="3"/>
      <queryTableField id="4" name="Quantity" tableColumnId="4"/>
      <queryTableField id="5" name="Price" tableColumnId="5"/>
      <queryTableField id="6" name="Total Sale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E0FFA6D-E3A2-4F4E-B988-8AEAB58B3CDC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City" tableColumnId="2"/>
      <queryTableField id="3" name="Population (2025)[3]" tableColumnId="3"/>
      <queryTableField id="4" name="Population(2011)[4]" tableColumnId="4"/>
      <queryTableField id="5" name="Population(2001)[4][a]" tableColumnId="5"/>
      <queryTableField id="6" name="State or unionterrit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A40CE4-C484-4266-AB45-9878DF88294D}" name="arbor_excel_salesdatajunepowerquery__2" displayName="arbor_excel_salesdatajunepowerquery__2" ref="A1:F325" tableType="queryTable" totalsRowShown="0">
  <autoFilter ref="A1:F325" xr:uid="{FDA40CE4-C484-4266-AB45-9878DF88294D}"/>
  <tableColumns count="6">
    <tableColumn id="1" xr3:uid="{2C6DB950-719E-45AD-A754-D6CF2F5ED9F3}" uniqueName="1" name="Order Id" queryTableFieldId="1" dataDxfId="10"/>
    <tableColumn id="2" xr3:uid="{8FEC7B17-DE73-45A7-8E93-3733D3FA49A5}" uniqueName="2" name="Date" queryTableFieldId="2" dataDxfId="9"/>
    <tableColumn id="3" xr3:uid="{55B73450-89AD-4CA4-BCC9-B96052EA5C4C}" uniqueName="3" name="Product Id" queryTableFieldId="3" dataDxfId="8"/>
    <tableColumn id="4" xr3:uid="{C305F52A-5FAE-41F7-9677-E6C4D2EED5D9}" uniqueName="4" name="Quantity" queryTableFieldId="4"/>
    <tableColumn id="5" xr3:uid="{C9CE8348-C35A-44B1-BF58-CCAB387FD4A7}" uniqueName="5" name="Price" queryTableFieldId="5"/>
    <tableColumn id="6" xr3:uid="{AAA89364-15C7-4B7B-AB03-E1140C7412CF}" uniqueName="6" name="Total Sale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E13A33-D0CD-4E5B-BD18-ED1F0F3CEEF4}" name="Append1" displayName="Append1" ref="A1:F649" tableType="queryTable" totalsRowShown="0">
  <autoFilter ref="A1:F649" xr:uid="{D3E13A33-D0CD-4E5B-BD18-ED1F0F3CEEF4}"/>
  <tableColumns count="6">
    <tableColumn id="1" xr3:uid="{42F9270F-ADF1-417D-83B4-2DF1B08303F0}" uniqueName="1" name="Order Id" queryTableFieldId="1" dataDxfId="7"/>
    <tableColumn id="2" xr3:uid="{CA0734E0-D028-4681-BCA3-592D02F39781}" uniqueName="2" name="Date" queryTableFieldId="2" dataDxfId="6"/>
    <tableColumn id="3" xr3:uid="{271F1577-982D-42BB-AA70-A4315438096F}" uniqueName="3" name="Product Id" queryTableFieldId="3" dataDxfId="5"/>
    <tableColumn id="4" xr3:uid="{803830D7-B0AA-4998-9C7E-C301BC996354}" uniqueName="4" name="Quantity" queryTableFieldId="4"/>
    <tableColumn id="5" xr3:uid="{D77C3994-A1F3-41C1-AD47-CCF3C54E9D0C}" uniqueName="5" name="Price" queryTableFieldId="5"/>
    <tableColumn id="6" xr3:uid="{9899CE89-EFCA-4CFD-8109-3D3090A02DFC}" uniqueName="6" name="Total Sales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D78F8-97A4-4320-A08A-1022ACFC6320}" name="arbor_excel_salesdatajulypowerquery" displayName="arbor_excel_salesdatajulypowerquery" ref="A1:F325" tableType="queryTable" totalsRowShown="0">
  <autoFilter ref="A1:F325" xr:uid="{C50D78F8-97A4-4320-A08A-1022ACFC6320}"/>
  <tableColumns count="6">
    <tableColumn id="1" xr3:uid="{884FE63A-B48F-410D-A284-B33831565885}" uniqueName="1" name="Order Id" queryTableFieldId="1" dataDxfId="4"/>
    <tableColumn id="2" xr3:uid="{B91A0F0A-0940-4929-9E14-24F153E760AF}" uniqueName="2" name="Date" queryTableFieldId="2" dataDxfId="3"/>
    <tableColumn id="3" xr3:uid="{ACCF7C95-73BA-4763-A8F7-EBE7517CF846}" uniqueName="3" name="Product Id" queryTableFieldId="3" dataDxfId="2"/>
    <tableColumn id="4" xr3:uid="{CF7BC87E-FE71-4686-8BDE-EC72A99131DD}" uniqueName="4" name="Quantity" queryTableFieldId="4"/>
    <tableColumn id="5" xr3:uid="{78B59362-4755-4B9D-BF6B-7CAE7A3627B9}" uniqueName="5" name="Price" queryTableFieldId="5"/>
    <tableColumn id="6" xr3:uid="{EFA85284-ECE5-4936-9431-37398A0A8000}" uniqueName="6" name="Total Sales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DE0450-38C0-4AF6-B1CF-9D5CAFFC7972}" name="Table_1" displayName="Table_1" ref="A1:F47" tableType="queryTable" totalsRowShown="0">
  <autoFilter ref="A1:F47" xr:uid="{E9DE0450-38C0-4AF6-B1CF-9D5CAFFC7972}"/>
  <tableColumns count="6">
    <tableColumn id="1" xr3:uid="{41122057-7815-4F40-884B-D1779B236DD8}" uniqueName="1" name="Index" queryTableFieldId="1"/>
    <tableColumn id="2" xr3:uid="{1334C45D-41DF-479B-A1E7-0164F0E054CB}" uniqueName="2" name="City" queryTableFieldId="2" dataDxfId="1"/>
    <tableColumn id="3" xr3:uid="{1B4A3EF1-A5E1-40AE-A738-C99CCA557FAA}" uniqueName="3" name="Population (2025)[3]" queryTableFieldId="3"/>
    <tableColumn id="4" xr3:uid="{37DD54E1-C38B-4942-8713-4B72289F2E60}" uniqueName="4" name="Population(2011)[4]" queryTableFieldId="4"/>
    <tableColumn id="5" xr3:uid="{FF0870C6-E622-47C5-8364-DAC1C7D181AE}" uniqueName="5" name="Population(2001)[4][a]" queryTableFieldId="5"/>
    <tableColumn id="6" xr3:uid="{4E6919B6-7035-4DAC-A887-17C68847E5D0}" uniqueName="6" name="State or unionterritory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verma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.mehta@rediffmail.com" TargetMode="External"/><Relationship Id="rId2" Type="http://schemas.openxmlformats.org/officeDocument/2006/relationships/hyperlink" Target="mailto:amitg123@gmail.com" TargetMode="External"/><Relationship Id="rId1" Type="http://schemas.openxmlformats.org/officeDocument/2006/relationships/hyperlink" Target="mailto:rahul.sharma@yahoo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B602-21AD-434B-A1B5-2D6C3A482543}">
  <dimension ref="A1:H21"/>
  <sheetViews>
    <sheetView topLeftCell="A16" workbookViewId="0">
      <pane xSplit="1" topLeftCell="B1" activePane="topRight" state="frozen"/>
      <selection pane="topRight" activeCell="G25" sqref="G25"/>
    </sheetView>
  </sheetViews>
  <sheetFormatPr defaultColWidth="18.109375" defaultRowHeight="14.4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8">
      <c r="A2" s="1" t="s">
        <v>6</v>
      </c>
      <c r="B2" s="1" t="s">
        <v>7</v>
      </c>
      <c r="C2" s="1" t="s">
        <v>8</v>
      </c>
      <c r="D2" s="1" t="s">
        <v>9</v>
      </c>
      <c r="E2" s="1">
        <v>1</v>
      </c>
      <c r="F2" s="1">
        <v>40</v>
      </c>
      <c r="H2" s="3" t="s">
        <v>51</v>
      </c>
    </row>
    <row r="3" spans="1:8">
      <c r="A3" s="1" t="s">
        <v>10</v>
      </c>
      <c r="B3" s="1" t="s">
        <v>11</v>
      </c>
      <c r="C3" s="1" t="s">
        <v>12</v>
      </c>
      <c r="D3" s="1" t="s">
        <v>13</v>
      </c>
      <c r="E3" s="1">
        <v>5</v>
      </c>
      <c r="F3" s="1">
        <v>150</v>
      </c>
    </row>
    <row r="4" spans="1:8">
      <c r="A4" s="1" t="s">
        <v>14</v>
      </c>
      <c r="B4" s="1" t="s">
        <v>15</v>
      </c>
      <c r="C4" s="1" t="s">
        <v>16</v>
      </c>
      <c r="D4" s="1" t="s">
        <v>17</v>
      </c>
      <c r="E4" s="1">
        <v>2</v>
      </c>
      <c r="F4" s="1">
        <v>50</v>
      </c>
      <c r="G4">
        <v>1</v>
      </c>
      <c r="H4" t="s">
        <v>53</v>
      </c>
    </row>
    <row r="5" spans="1:8">
      <c r="A5" s="1" t="s">
        <v>18</v>
      </c>
      <c r="B5" s="1" t="s">
        <v>19</v>
      </c>
      <c r="C5" s="1" t="s">
        <v>20</v>
      </c>
      <c r="D5" s="1" t="s">
        <v>9</v>
      </c>
      <c r="E5" s="1">
        <v>3</v>
      </c>
      <c r="F5" s="1">
        <v>150</v>
      </c>
      <c r="H5" s="1" t="s">
        <v>11</v>
      </c>
    </row>
    <row r="6" spans="1:8">
      <c r="A6" s="1" t="s">
        <v>21</v>
      </c>
      <c r="B6" s="9" t="s">
        <v>22</v>
      </c>
      <c r="C6" s="1" t="s">
        <v>23</v>
      </c>
      <c r="D6" s="1" t="s">
        <v>24</v>
      </c>
      <c r="E6" s="1">
        <v>1</v>
      </c>
      <c r="F6" s="1">
        <v>200</v>
      </c>
      <c r="H6" s="4">
        <f>VLOOKUP(H5,B1:F21,4,0)</f>
        <v>5</v>
      </c>
    </row>
    <row r="7" spans="1:8">
      <c r="A7" s="1" t="s">
        <v>25</v>
      </c>
      <c r="B7" s="1" t="s">
        <v>26</v>
      </c>
      <c r="C7" s="1" t="s">
        <v>27</v>
      </c>
      <c r="D7" s="1" t="s">
        <v>13</v>
      </c>
      <c r="E7" s="1">
        <v>4</v>
      </c>
      <c r="F7" s="1">
        <v>240</v>
      </c>
      <c r="G7">
        <v>2</v>
      </c>
      <c r="H7" t="s">
        <v>52</v>
      </c>
    </row>
    <row r="8" spans="1:8">
      <c r="A8" s="1" t="s">
        <v>28</v>
      </c>
      <c r="B8" s="1" t="s">
        <v>29</v>
      </c>
      <c r="C8" s="1" t="s">
        <v>30</v>
      </c>
      <c r="D8" s="1" t="s">
        <v>31</v>
      </c>
      <c r="E8" s="1">
        <v>5</v>
      </c>
      <c r="F8" s="1">
        <v>225</v>
      </c>
      <c r="H8" s="1" t="s">
        <v>25</v>
      </c>
    </row>
    <row r="9" spans="1:8">
      <c r="A9" s="1" t="s">
        <v>32</v>
      </c>
      <c r="B9" s="1" t="s">
        <v>33</v>
      </c>
      <c r="C9" s="1" t="s">
        <v>34</v>
      </c>
      <c r="D9" s="1" t="s">
        <v>9</v>
      </c>
      <c r="E9" s="1">
        <v>2</v>
      </c>
      <c r="F9" s="1">
        <v>300</v>
      </c>
      <c r="H9" s="4">
        <f>VLOOKUP(H8,A1:F21,6,0)</f>
        <v>240</v>
      </c>
    </row>
    <row r="10" spans="1:8">
      <c r="A10" s="1" t="s">
        <v>35</v>
      </c>
      <c r="B10" s="1" t="s">
        <v>36</v>
      </c>
      <c r="C10" s="1" t="s">
        <v>37</v>
      </c>
      <c r="D10" s="1" t="s">
        <v>17</v>
      </c>
      <c r="E10" s="1">
        <v>3</v>
      </c>
      <c r="F10" s="1">
        <v>30</v>
      </c>
      <c r="G10">
        <v>3</v>
      </c>
      <c r="H10" t="s">
        <v>58</v>
      </c>
    </row>
    <row r="11" spans="1:8">
      <c r="A11" s="1" t="s">
        <v>38</v>
      </c>
      <c r="B11" s="1" t="s">
        <v>39</v>
      </c>
      <c r="C11" s="1" t="s">
        <v>40</v>
      </c>
      <c r="D11" s="1" t="s">
        <v>13</v>
      </c>
      <c r="E11" s="1">
        <v>2</v>
      </c>
      <c r="F11" s="1">
        <v>240</v>
      </c>
      <c r="H11" s="1" t="s">
        <v>22</v>
      </c>
    </row>
    <row r="12" spans="1:8">
      <c r="A12" s="1" t="s">
        <v>41</v>
      </c>
      <c r="B12" s="1" t="s">
        <v>7</v>
      </c>
      <c r="C12" s="1" t="s">
        <v>16</v>
      </c>
      <c r="D12" s="1" t="s">
        <v>17</v>
      </c>
      <c r="E12" s="1">
        <v>4</v>
      </c>
      <c r="F12" s="1">
        <v>100</v>
      </c>
      <c r="G12" s="5" t="s">
        <v>54</v>
      </c>
      <c r="H12" s="4">
        <f>VLOOKUP(H11,B1:F21,4,0)</f>
        <v>1</v>
      </c>
    </row>
    <row r="13" spans="1:8">
      <c r="A13" s="1" t="s">
        <v>42</v>
      </c>
      <c r="B13" s="1" t="s">
        <v>11</v>
      </c>
      <c r="C13" s="1" t="s">
        <v>20</v>
      </c>
      <c r="D13" s="1" t="s">
        <v>9</v>
      </c>
      <c r="E13" s="1">
        <v>1</v>
      </c>
      <c r="F13" s="1">
        <v>50</v>
      </c>
      <c r="G13" s="6" t="s">
        <v>55</v>
      </c>
      <c r="H13" s="8">
        <f>VLOOKUP(H11,B1:F21,5,0)</f>
        <v>200</v>
      </c>
    </row>
    <row r="14" spans="1:8">
      <c r="A14" s="1" t="s">
        <v>43</v>
      </c>
      <c r="B14" s="1" t="s">
        <v>15</v>
      </c>
      <c r="C14" s="1" t="s">
        <v>23</v>
      </c>
      <c r="D14" s="1" t="s">
        <v>24</v>
      </c>
      <c r="E14" s="1">
        <v>3</v>
      </c>
      <c r="F14" s="1">
        <v>600</v>
      </c>
      <c r="G14" s="5" t="s">
        <v>56</v>
      </c>
      <c r="H14" s="4" t="str">
        <f>VLOOKUP(H11,B1:F21,3,0)</f>
        <v>Household</v>
      </c>
    </row>
    <row r="15" spans="1:8">
      <c r="A15" s="1" t="s">
        <v>44</v>
      </c>
      <c r="B15" s="1" t="s">
        <v>26</v>
      </c>
      <c r="C15" s="1" t="s">
        <v>27</v>
      </c>
      <c r="D15" s="1" t="s">
        <v>13</v>
      </c>
      <c r="E15" s="1">
        <v>2</v>
      </c>
      <c r="F15" s="1">
        <v>120</v>
      </c>
      <c r="G15" s="7" t="s">
        <v>57</v>
      </c>
      <c r="H15" s="8" t="str">
        <f>VLOOKUP(H11,B1:F21,2,0)</f>
        <v>Detergent</v>
      </c>
    </row>
    <row r="16" spans="1:8">
      <c r="A16" s="1" t="s">
        <v>45</v>
      </c>
      <c r="B16" s="1" t="s">
        <v>29</v>
      </c>
      <c r="C16" s="1" t="s">
        <v>34</v>
      </c>
      <c r="D16" s="1" t="s">
        <v>9</v>
      </c>
      <c r="E16" s="1">
        <v>1</v>
      </c>
      <c r="F16" s="1">
        <v>150</v>
      </c>
    </row>
    <row r="17" spans="1:6">
      <c r="A17" s="1" t="s">
        <v>46</v>
      </c>
      <c r="B17" s="1" t="s">
        <v>19</v>
      </c>
      <c r="C17" s="1" t="s">
        <v>12</v>
      </c>
      <c r="D17" s="1" t="s">
        <v>13</v>
      </c>
      <c r="E17" s="1">
        <v>2</v>
      </c>
      <c r="F17" s="1">
        <v>60</v>
      </c>
    </row>
    <row r="18" spans="1:6">
      <c r="A18" s="1" t="s">
        <v>47</v>
      </c>
      <c r="B18" s="9" t="s">
        <v>22</v>
      </c>
      <c r="C18" s="1" t="s">
        <v>30</v>
      </c>
      <c r="D18" s="1" t="s">
        <v>31</v>
      </c>
      <c r="E18" s="1">
        <v>3</v>
      </c>
      <c r="F18" s="1">
        <v>135</v>
      </c>
    </row>
    <row r="19" spans="1:6">
      <c r="A19" s="1" t="s">
        <v>48</v>
      </c>
      <c r="B19" s="1" t="s">
        <v>33</v>
      </c>
      <c r="C19" s="1" t="s">
        <v>40</v>
      </c>
      <c r="D19" s="1" t="s">
        <v>13</v>
      </c>
      <c r="E19" s="1">
        <v>1</v>
      </c>
      <c r="F19" s="1">
        <v>120</v>
      </c>
    </row>
    <row r="20" spans="1:6">
      <c r="A20" s="1" t="s">
        <v>49</v>
      </c>
      <c r="B20" s="1" t="s">
        <v>36</v>
      </c>
      <c r="C20" s="1" t="s">
        <v>37</v>
      </c>
      <c r="D20" s="1" t="s">
        <v>17</v>
      </c>
      <c r="E20" s="1">
        <v>5</v>
      </c>
      <c r="F20" s="1">
        <v>50</v>
      </c>
    </row>
    <row r="21" spans="1:6">
      <c r="A21" s="1" t="s">
        <v>50</v>
      </c>
      <c r="B21" s="1" t="s">
        <v>39</v>
      </c>
      <c r="C21" s="1" t="s">
        <v>8</v>
      </c>
      <c r="D21" s="1" t="s">
        <v>9</v>
      </c>
      <c r="E21" s="1">
        <v>4</v>
      </c>
      <c r="F21" s="1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73BC-8256-4A1B-B06C-576F6781BDA0}">
  <dimension ref="A1:G76"/>
  <sheetViews>
    <sheetView workbookViewId="0">
      <selection activeCell="C75" sqref="C75"/>
    </sheetView>
  </sheetViews>
  <sheetFormatPr defaultRowHeight="14.4"/>
  <cols>
    <col min="1" max="7" width="21.44140625" customWidth="1"/>
  </cols>
  <sheetData>
    <row r="1" spans="1:7">
      <c r="A1" s="12" t="s">
        <v>59</v>
      </c>
      <c r="B1" s="12" t="s">
        <v>60</v>
      </c>
      <c r="C1" s="12" t="s">
        <v>61</v>
      </c>
      <c r="D1" s="12" t="s">
        <v>62</v>
      </c>
      <c r="E1" s="12" t="s">
        <v>63</v>
      </c>
      <c r="F1" s="27" t="s">
        <v>64</v>
      </c>
      <c r="G1" s="12" t="s">
        <v>65</v>
      </c>
    </row>
    <row r="2" spans="1:7">
      <c r="A2" s="13">
        <v>101</v>
      </c>
      <c r="B2" s="13" t="s">
        <v>66</v>
      </c>
      <c r="C2" s="13" t="s">
        <v>67</v>
      </c>
      <c r="D2" s="13" t="s">
        <v>68</v>
      </c>
      <c r="E2" s="13">
        <v>40000</v>
      </c>
      <c r="F2" s="28">
        <v>43845</v>
      </c>
      <c r="G2" s="13" t="s">
        <v>69</v>
      </c>
    </row>
    <row r="3" spans="1:7">
      <c r="A3" s="13">
        <v>102</v>
      </c>
      <c r="B3" s="13" t="s">
        <v>70</v>
      </c>
      <c r="C3" s="13" t="s">
        <v>71</v>
      </c>
      <c r="D3" s="13" t="s">
        <v>72</v>
      </c>
      <c r="E3" s="13">
        <v>45000</v>
      </c>
      <c r="F3" s="28">
        <v>44275</v>
      </c>
      <c r="G3" s="13" t="s">
        <v>73</v>
      </c>
    </row>
    <row r="4" spans="1:7">
      <c r="A4" s="13">
        <v>103</v>
      </c>
      <c r="B4" s="13" t="s">
        <v>74</v>
      </c>
      <c r="C4" s="13" t="s">
        <v>75</v>
      </c>
      <c r="D4" s="13" t="s">
        <v>76</v>
      </c>
      <c r="E4" s="13">
        <v>55000</v>
      </c>
      <c r="F4" s="28">
        <v>43656</v>
      </c>
      <c r="G4" s="13" t="s">
        <v>77</v>
      </c>
    </row>
    <row r="5" spans="1:7">
      <c r="A5" s="13">
        <v>104</v>
      </c>
      <c r="B5" s="13" t="s">
        <v>78</v>
      </c>
      <c r="C5" s="13" t="s">
        <v>75</v>
      </c>
      <c r="D5" s="13" t="s">
        <v>79</v>
      </c>
      <c r="E5" s="13">
        <v>60000</v>
      </c>
      <c r="F5" s="28">
        <v>44870</v>
      </c>
      <c r="G5" s="13" t="s">
        <v>80</v>
      </c>
    </row>
    <row r="6" spans="1:7">
      <c r="A6" s="13">
        <v>105</v>
      </c>
      <c r="B6" s="13" t="s">
        <v>81</v>
      </c>
      <c r="C6" s="13" t="s">
        <v>82</v>
      </c>
      <c r="D6" s="13" t="s">
        <v>83</v>
      </c>
      <c r="E6" s="13">
        <v>65000</v>
      </c>
      <c r="F6" s="28">
        <v>43208</v>
      </c>
      <c r="G6" s="13" t="s">
        <v>69</v>
      </c>
    </row>
    <row r="7" spans="1:7">
      <c r="A7" s="13">
        <v>106</v>
      </c>
      <c r="B7" s="13" t="s">
        <v>84</v>
      </c>
      <c r="C7" s="13" t="s">
        <v>85</v>
      </c>
      <c r="D7" s="13" t="s">
        <v>86</v>
      </c>
      <c r="E7" s="13">
        <v>42000</v>
      </c>
      <c r="F7" s="28">
        <v>44451</v>
      </c>
      <c r="G7" s="13" t="s">
        <v>87</v>
      </c>
    </row>
    <row r="8" spans="1:7">
      <c r="A8" s="13">
        <v>107</v>
      </c>
      <c r="B8" s="13" t="s">
        <v>88</v>
      </c>
      <c r="C8" s="13" t="s">
        <v>71</v>
      </c>
      <c r="D8" s="13" t="s">
        <v>89</v>
      </c>
      <c r="E8" s="13">
        <v>58000</v>
      </c>
      <c r="F8" s="28">
        <v>43641</v>
      </c>
      <c r="G8" s="13" t="s">
        <v>90</v>
      </c>
    </row>
    <row r="9" spans="1:7">
      <c r="A9" s="13">
        <v>108</v>
      </c>
      <c r="B9" s="13" t="s">
        <v>91</v>
      </c>
      <c r="C9" s="13" t="s">
        <v>75</v>
      </c>
      <c r="D9" s="13" t="s">
        <v>92</v>
      </c>
      <c r="E9" s="13">
        <v>62000</v>
      </c>
      <c r="F9" s="28">
        <v>44166</v>
      </c>
      <c r="G9" s="13" t="s">
        <v>93</v>
      </c>
    </row>
    <row r="10" spans="1:7">
      <c r="A10" s="13">
        <v>109</v>
      </c>
      <c r="B10" s="13" t="s">
        <v>94</v>
      </c>
      <c r="C10" s="13" t="s">
        <v>67</v>
      </c>
      <c r="D10" s="13" t="s">
        <v>95</v>
      </c>
      <c r="E10" s="13">
        <v>70000</v>
      </c>
      <c r="F10" s="28">
        <v>42956</v>
      </c>
      <c r="G10" s="13" t="s">
        <v>69</v>
      </c>
    </row>
    <row r="11" spans="1:7">
      <c r="A11" s="13">
        <v>110</v>
      </c>
      <c r="B11" s="13" t="s">
        <v>96</v>
      </c>
      <c r="C11" s="13" t="s">
        <v>85</v>
      </c>
      <c r="D11" s="13" t="s">
        <v>97</v>
      </c>
      <c r="E11" s="13">
        <v>68000</v>
      </c>
      <c r="F11" s="28">
        <v>43235</v>
      </c>
      <c r="G11" s="13" t="s">
        <v>73</v>
      </c>
    </row>
    <row r="14" spans="1:7">
      <c r="A14" s="18" t="s">
        <v>158</v>
      </c>
    </row>
    <row r="15" spans="1:7">
      <c r="A15" s="19"/>
    </row>
    <row r="16" spans="1:7">
      <c r="A16" s="18" t="s">
        <v>98</v>
      </c>
    </row>
    <row r="17" spans="1:4">
      <c r="A17" s="20"/>
    </row>
    <row r="18" spans="1:4">
      <c r="A18" s="20" t="s">
        <v>99</v>
      </c>
    </row>
    <row r="19" spans="1:4">
      <c r="A19" s="13">
        <v>103</v>
      </c>
      <c r="D19" s="26"/>
    </row>
    <row r="20" spans="1:4">
      <c r="A20" s="20" t="str">
        <f>VLOOKUP(A19,A1:G11,3,0)</f>
        <v>IT</v>
      </c>
    </row>
    <row r="21" spans="1:4">
      <c r="A21" s="20" t="s">
        <v>100</v>
      </c>
    </row>
    <row r="22" spans="1:4">
      <c r="A22" s="13" t="s">
        <v>70</v>
      </c>
    </row>
    <row r="23" spans="1:4">
      <c r="A23" s="20">
        <f>VLOOKUP(A22,B1:G11,4,0)</f>
        <v>45000</v>
      </c>
    </row>
    <row r="24" spans="1:4">
      <c r="A24" s="20" t="s">
        <v>101</v>
      </c>
    </row>
    <row r="25" spans="1:4">
      <c r="A25" s="13">
        <v>106</v>
      </c>
    </row>
    <row r="26" spans="1:4">
      <c r="A26" s="20" t="str">
        <f>VLOOKUP(A25,A1:D11,4,0)</f>
        <v>Sales Executive</v>
      </c>
    </row>
    <row r="27" spans="1:4">
      <c r="A27" s="20" t="s">
        <v>102</v>
      </c>
    </row>
    <row r="28" spans="1:4">
      <c r="A28" s="13" t="s">
        <v>96</v>
      </c>
    </row>
    <row r="29" spans="1:4">
      <c r="A29" s="29">
        <f>VLOOKUP(A28,B1:F11,5,0)</f>
        <v>43235</v>
      </c>
    </row>
    <row r="30" spans="1:4">
      <c r="A30" s="20" t="s">
        <v>103</v>
      </c>
    </row>
    <row r="31" spans="1:4">
      <c r="A31" s="13" t="s">
        <v>74</v>
      </c>
    </row>
    <row r="32" spans="1:4">
      <c r="A32" t="str">
        <f>VLOOKUP(A31,B1:G11,6,0)</f>
        <v>Bangalore</v>
      </c>
    </row>
    <row r="34" spans="1:2" ht="18">
      <c r="A34" s="15" t="s">
        <v>104</v>
      </c>
    </row>
    <row r="35" spans="1:2">
      <c r="A35" s="16"/>
    </row>
    <row r="36" spans="1:2">
      <c r="A36" s="16" t="s">
        <v>105</v>
      </c>
    </row>
    <row r="37" spans="1:2">
      <c r="A37" s="13">
        <v>110</v>
      </c>
    </row>
    <row r="38" spans="1:2">
      <c r="A38" s="16" t="str">
        <f>VLOOKUP(A37,A1:B11,2,0)</f>
        <v>Aman Tiwari</v>
      </c>
      <c r="B38">
        <f>VLOOKUP(A37,A1:E11,5,0)</f>
        <v>68000</v>
      </c>
    </row>
    <row r="39" spans="1:2">
      <c r="A39" s="16" t="s">
        <v>106</v>
      </c>
    </row>
    <row r="40" spans="1:2">
      <c r="A40" s="13">
        <v>108</v>
      </c>
    </row>
    <row r="41" spans="1:2">
      <c r="A41" s="16" t="str">
        <f>VLOOKUP(A40,A1:C11,3,0)</f>
        <v>IT</v>
      </c>
      <c r="B41" t="str">
        <f>VLOOKUP(A40,A1:D11,4,0)</f>
        <v>Data Engineer</v>
      </c>
    </row>
    <row r="42" spans="1:2">
      <c r="A42" s="16" t="s">
        <v>107</v>
      </c>
    </row>
    <row r="43" spans="1:2">
      <c r="A43" s="13" t="s">
        <v>81</v>
      </c>
    </row>
    <row r="44" spans="1:2">
      <c r="A44" s="30">
        <f>VLOOKUP(A43,B1:F11,5,0)</f>
        <v>43208</v>
      </c>
    </row>
    <row r="45" spans="1:2">
      <c r="A45" s="16" t="s">
        <v>108</v>
      </c>
    </row>
    <row r="46" spans="1:2">
      <c r="A46" s="13" t="s">
        <v>97</v>
      </c>
    </row>
    <row r="47" spans="1:2">
      <c r="A47" s="16">
        <f>VLOOKUP(A46,D1:E11,2,0)</f>
        <v>68000</v>
      </c>
    </row>
    <row r="48" spans="1:2">
      <c r="A48" s="16" t="s">
        <v>109</v>
      </c>
    </row>
    <row r="49" spans="1:1">
      <c r="A49" s="13">
        <v>109</v>
      </c>
    </row>
    <row r="50" spans="1:1">
      <c r="A50" t="str">
        <f>VLOOKUP(A49,A1:G11,7,0)</f>
        <v>Delhi</v>
      </c>
    </row>
    <row r="52" spans="1:1" ht="18">
      <c r="A52" s="15" t="s">
        <v>110</v>
      </c>
    </row>
    <row r="53" spans="1:1">
      <c r="A53" s="16"/>
    </row>
    <row r="54" spans="1:1">
      <c r="A54" s="16" t="s">
        <v>111</v>
      </c>
    </row>
    <row r="55" spans="1:1">
      <c r="A55" s="16"/>
    </row>
    <row r="56" spans="1:1">
      <c r="A56" s="16"/>
    </row>
    <row r="57" spans="1:1">
      <c r="A57" s="16" t="s">
        <v>112</v>
      </c>
    </row>
    <row r="58" spans="1:1">
      <c r="A58" s="28">
        <v>44870</v>
      </c>
    </row>
    <row r="59" spans="1:1">
      <c r="A59" s="16" t="e">
        <f>VLOOKUP(A58,C1:F11,1,0)</f>
        <v>#N/A</v>
      </c>
    </row>
    <row r="60" spans="1:1">
      <c r="A60" s="16" t="s">
        <v>113</v>
      </c>
    </row>
    <row r="61" spans="1:1">
      <c r="A61" s="13">
        <v>62000</v>
      </c>
    </row>
    <row r="62" spans="1:1">
      <c r="A62" s="16" t="e">
        <f>VLOOKUP(A61,A1:G11,2,0)</f>
        <v>#N/A</v>
      </c>
    </row>
    <row r="63" spans="1:1">
      <c r="A63" s="16" t="s">
        <v>114</v>
      </c>
    </row>
    <row r="64" spans="1:1">
      <c r="A64" s="16"/>
    </row>
    <row r="65" spans="1:1">
      <c r="A65" s="16"/>
    </row>
    <row r="66" spans="1:1">
      <c r="A66" s="16" t="s">
        <v>115</v>
      </c>
    </row>
    <row r="67" spans="1:1">
      <c r="A67" s="16"/>
    </row>
    <row r="68" spans="1:1">
      <c r="A68" s="16" t="s">
        <v>116</v>
      </c>
    </row>
    <row r="69" spans="1:1">
      <c r="A69" s="16"/>
    </row>
    <row r="70" spans="1:1">
      <c r="A70" s="16" t="s">
        <v>117</v>
      </c>
    </row>
    <row r="71" spans="1:1">
      <c r="A71" s="16"/>
    </row>
    <row r="72" spans="1:1">
      <c r="A72" s="16" t="s">
        <v>118</v>
      </c>
    </row>
    <row r="73" spans="1:1">
      <c r="A73" s="16"/>
    </row>
    <row r="74" spans="1:1">
      <c r="A74" s="16" t="s">
        <v>119</v>
      </c>
    </row>
    <row r="75" spans="1:1">
      <c r="A75" s="16"/>
    </row>
    <row r="76" spans="1:1">
      <c r="A76" s="16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5CA5-047B-41CE-A5FA-B85556EA3F86}">
  <dimension ref="A1:D76"/>
  <sheetViews>
    <sheetView workbookViewId="0">
      <selection activeCell="G40" sqref="G40"/>
    </sheetView>
  </sheetViews>
  <sheetFormatPr defaultRowHeight="14.4"/>
  <cols>
    <col min="1" max="1" width="10.88671875" customWidth="1"/>
  </cols>
  <sheetData>
    <row r="1" spans="1:4">
      <c r="A1" t="s">
        <v>121</v>
      </c>
    </row>
    <row r="3" spans="1:4">
      <c r="A3" t="s">
        <v>122</v>
      </c>
    </row>
    <row r="4" spans="1:4">
      <c r="A4" s="22" t="s">
        <v>123</v>
      </c>
    </row>
    <row r="5" spans="1:4">
      <c r="A5" s="22" t="s">
        <v>124</v>
      </c>
    </row>
    <row r="6" spans="1:4">
      <c r="A6" s="22" t="s">
        <v>125</v>
      </c>
    </row>
    <row r="7" spans="1:4">
      <c r="A7" s="22" t="s">
        <v>126</v>
      </c>
    </row>
    <row r="9" spans="1:4">
      <c r="A9" s="21" t="s">
        <v>127</v>
      </c>
      <c r="B9" s="21"/>
      <c r="C9" s="21"/>
      <c r="D9" s="21"/>
    </row>
    <row r="10" spans="1:4">
      <c r="A10" s="24" t="s">
        <v>128</v>
      </c>
      <c r="B10" s="24" t="s">
        <v>129</v>
      </c>
    </row>
    <row r="11" spans="1:4">
      <c r="A11" s="10">
        <v>0</v>
      </c>
      <c r="B11" s="23">
        <v>0.05</v>
      </c>
    </row>
    <row r="12" spans="1:4">
      <c r="A12" s="10">
        <v>40000</v>
      </c>
      <c r="B12" s="23">
        <v>7.0000000000000007E-2</v>
      </c>
    </row>
    <row r="13" spans="1:4">
      <c r="A13" s="10">
        <v>50000</v>
      </c>
      <c r="B13" s="23">
        <v>0.1</v>
      </c>
    </row>
    <row r="14" spans="1:4">
      <c r="A14" s="10">
        <v>60000</v>
      </c>
      <c r="B14" s="23">
        <v>0.12</v>
      </c>
    </row>
    <row r="15" spans="1:4">
      <c r="A15" s="10">
        <v>70000</v>
      </c>
      <c r="B15" s="23">
        <v>0.15</v>
      </c>
    </row>
    <row r="18" spans="1:1" ht="23.4">
      <c r="A18" s="14" t="s">
        <v>130</v>
      </c>
    </row>
    <row r="20" spans="1:1" ht="18">
      <c r="A20" s="15" t="s">
        <v>131</v>
      </c>
    </row>
    <row r="21" spans="1:1">
      <c r="A21" s="16"/>
    </row>
    <row r="22" spans="1:1">
      <c r="A22" s="16" t="s">
        <v>132</v>
      </c>
    </row>
    <row r="23" spans="1:1">
      <c r="A23" s="16"/>
    </row>
    <row r="24" spans="1:1">
      <c r="A24" s="16" t="s">
        <v>133</v>
      </c>
    </row>
    <row r="25" spans="1:1">
      <c r="A25" s="16"/>
    </row>
    <row r="26" spans="1:1">
      <c r="A26" s="16" t="s">
        <v>134</v>
      </c>
    </row>
    <row r="27" spans="1:1">
      <c r="A27" s="16"/>
    </row>
    <row r="28" spans="1:1">
      <c r="A28" s="16" t="s">
        <v>135</v>
      </c>
    </row>
    <row r="29" spans="1:1">
      <c r="A29" s="16"/>
    </row>
    <row r="30" spans="1:1">
      <c r="A30" s="16" t="s">
        <v>136</v>
      </c>
    </row>
    <row r="34" spans="1:1" ht="18">
      <c r="A34" s="15" t="s">
        <v>137</v>
      </c>
    </row>
    <row r="35" spans="1:1">
      <c r="A35" s="16"/>
    </row>
    <row r="36" spans="1:1">
      <c r="A36" s="16" t="s">
        <v>138</v>
      </c>
    </row>
    <row r="37" spans="1:1">
      <c r="A37" s="16"/>
    </row>
    <row r="38" spans="1:1">
      <c r="A38" s="16" t="s">
        <v>139</v>
      </c>
    </row>
    <row r="39" spans="1:1">
      <c r="A39" s="16"/>
    </row>
    <row r="40" spans="1:1">
      <c r="A40" s="16" t="s">
        <v>140</v>
      </c>
    </row>
    <row r="41" spans="1:1">
      <c r="A41" s="16"/>
    </row>
    <row r="42" spans="1:1">
      <c r="A42" s="16" t="s">
        <v>141</v>
      </c>
    </row>
    <row r="43" spans="1:1">
      <c r="A43" s="16"/>
    </row>
    <row r="44" spans="1:1">
      <c r="A44" s="16" t="s">
        <v>142</v>
      </c>
    </row>
    <row r="48" spans="1:1" ht="18">
      <c r="A48" s="15" t="s">
        <v>143</v>
      </c>
    </row>
    <row r="49" spans="1:1">
      <c r="A49" s="16"/>
    </row>
    <row r="50" spans="1:1">
      <c r="A50" s="16" t="s">
        <v>144</v>
      </c>
    </row>
    <row r="51" spans="1:1">
      <c r="A51" s="16"/>
    </row>
    <row r="52" spans="1:1">
      <c r="A52" s="16" t="s">
        <v>145</v>
      </c>
    </row>
    <row r="53" spans="1:1">
      <c r="A53" s="16"/>
    </row>
    <row r="54" spans="1:1">
      <c r="A54" s="16" t="s">
        <v>146</v>
      </c>
    </row>
    <row r="55" spans="1:1">
      <c r="A55" s="16"/>
    </row>
    <row r="56" spans="1:1">
      <c r="A56" s="16" t="s">
        <v>147</v>
      </c>
    </row>
    <row r="57" spans="1:1">
      <c r="A57" s="16"/>
    </row>
    <row r="58" spans="1:1">
      <c r="A58" s="16" t="s">
        <v>148</v>
      </c>
    </row>
    <row r="59" spans="1:1">
      <c r="A59" s="16"/>
    </row>
    <row r="60" spans="1:1">
      <c r="A60" s="16" t="s">
        <v>149</v>
      </c>
    </row>
    <row r="61" spans="1:1">
      <c r="A61" s="16"/>
    </row>
    <row r="62" spans="1:1">
      <c r="A62" s="16" t="s">
        <v>150</v>
      </c>
    </row>
    <row r="63" spans="1:1">
      <c r="A63" s="16"/>
    </row>
    <row r="64" spans="1:1">
      <c r="A64" s="16" t="s">
        <v>151</v>
      </c>
    </row>
    <row r="65" spans="1:1">
      <c r="A65" s="16"/>
    </row>
    <row r="66" spans="1:1">
      <c r="A66" s="16" t="s">
        <v>152</v>
      </c>
    </row>
    <row r="67" spans="1:1">
      <c r="A67" s="16"/>
    </row>
    <row r="68" spans="1:1">
      <c r="A68" s="16" t="s">
        <v>153</v>
      </c>
    </row>
    <row r="69" spans="1:1">
      <c r="A69" s="16"/>
    </row>
    <row r="70" spans="1:1">
      <c r="A70" s="16" t="s">
        <v>154</v>
      </c>
    </row>
    <row r="71" spans="1:1">
      <c r="A71" s="16"/>
    </row>
    <row r="72" spans="1:1">
      <c r="A72" s="16" t="s">
        <v>155</v>
      </c>
    </row>
    <row r="73" spans="1:1">
      <c r="A73" s="16"/>
    </row>
    <row r="74" spans="1:1">
      <c r="A74" s="16" t="s">
        <v>156</v>
      </c>
    </row>
    <row r="75" spans="1:1">
      <c r="A75" s="16"/>
    </row>
    <row r="76" spans="1:1">
      <c r="A76" s="16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6166-6775-47E3-B485-21FFDD368C8C}">
  <dimension ref="A1:E60"/>
  <sheetViews>
    <sheetView workbookViewId="0">
      <selection activeCell="E21" sqref="E21"/>
    </sheetView>
  </sheetViews>
  <sheetFormatPr defaultRowHeight="14.4"/>
  <cols>
    <col min="1" max="1" width="9.77734375" customWidth="1"/>
    <col min="2" max="2" width="13.44140625" customWidth="1"/>
    <col min="3" max="3" width="13.6640625" customWidth="1"/>
    <col min="4" max="4" width="33.6640625" customWidth="1"/>
    <col min="5" max="5" width="15.5546875" customWidth="1"/>
  </cols>
  <sheetData>
    <row r="1" spans="1:5">
      <c r="A1" t="s">
        <v>159</v>
      </c>
    </row>
    <row r="3" spans="1:5">
      <c r="A3" s="12" t="s">
        <v>160</v>
      </c>
      <c r="B3" s="12" t="s">
        <v>161</v>
      </c>
      <c r="C3" s="12" t="s">
        <v>162</v>
      </c>
      <c r="D3" s="12" t="s">
        <v>163</v>
      </c>
      <c r="E3" s="12" t="s">
        <v>65</v>
      </c>
    </row>
    <row r="4" spans="1:5" ht="18" customHeight="1">
      <c r="A4" s="11">
        <v>1</v>
      </c>
      <c r="B4" s="11" t="s">
        <v>164</v>
      </c>
      <c r="C4" s="11" t="s">
        <v>165</v>
      </c>
      <c r="D4" s="11" t="s">
        <v>166</v>
      </c>
      <c r="E4" s="11" t="s">
        <v>167</v>
      </c>
    </row>
    <row r="5" spans="1:5" ht="22.2" customHeight="1">
      <c r="A5" s="11">
        <v>2</v>
      </c>
      <c r="B5" s="11" t="s">
        <v>168</v>
      </c>
      <c r="C5" s="11" t="s">
        <v>169</v>
      </c>
      <c r="D5" s="11" t="s">
        <v>170</v>
      </c>
      <c r="E5" s="11" t="s">
        <v>171</v>
      </c>
    </row>
    <row r="6" spans="1:5" ht="19.8" customHeight="1">
      <c r="A6" s="11">
        <v>3</v>
      </c>
      <c r="B6" s="11" t="s">
        <v>172</v>
      </c>
      <c r="C6" s="11" t="s">
        <v>173</v>
      </c>
      <c r="D6" s="25" t="s">
        <v>174</v>
      </c>
      <c r="E6" s="11" t="s">
        <v>175</v>
      </c>
    </row>
    <row r="7" spans="1:5" ht="19.2" customHeight="1">
      <c r="A7" s="11">
        <v>4</v>
      </c>
      <c r="B7" s="11" t="s">
        <v>176</v>
      </c>
      <c r="C7" s="11" t="s">
        <v>177</v>
      </c>
      <c r="D7" s="11" t="s">
        <v>178</v>
      </c>
      <c r="E7" s="11" t="s">
        <v>179</v>
      </c>
    </row>
    <row r="8" spans="1:5" ht="21" customHeight="1">
      <c r="A8" s="11">
        <v>5</v>
      </c>
      <c r="B8" s="11" t="s">
        <v>180</v>
      </c>
      <c r="C8" s="11" t="s">
        <v>181</v>
      </c>
      <c r="D8" s="11" t="s">
        <v>182</v>
      </c>
      <c r="E8" s="11" t="s">
        <v>183</v>
      </c>
    </row>
    <row r="10" spans="1:5">
      <c r="A10" t="s">
        <v>206</v>
      </c>
    </row>
    <row r="11" spans="1:5">
      <c r="A11" s="22" t="s">
        <v>207</v>
      </c>
    </row>
    <row r="12" spans="1:5">
      <c r="A12" s="22" t="s">
        <v>208</v>
      </c>
    </row>
    <row r="13" spans="1:5">
      <c r="A13" s="22" t="s">
        <v>209</v>
      </c>
    </row>
    <row r="14" spans="1:5">
      <c r="A14" s="16" t="s">
        <v>210</v>
      </c>
    </row>
    <row r="15" spans="1:5">
      <c r="A15" s="16"/>
    </row>
    <row r="16" spans="1:5">
      <c r="A16" t="s">
        <v>211</v>
      </c>
    </row>
    <row r="17" spans="1:1">
      <c r="A17" s="16"/>
    </row>
    <row r="18" spans="1:1" ht="15.6">
      <c r="A18" s="17" t="s">
        <v>184</v>
      </c>
    </row>
    <row r="19" spans="1:1">
      <c r="A19" s="16"/>
    </row>
    <row r="20" spans="1:1">
      <c r="A20" s="16" t="s">
        <v>185</v>
      </c>
    </row>
    <row r="21" spans="1:1">
      <c r="A21" s="16"/>
    </row>
    <row r="22" spans="1:1">
      <c r="A22" s="16" t="s">
        <v>186</v>
      </c>
    </row>
    <row r="23" spans="1:1">
      <c r="A23" s="16"/>
    </row>
    <row r="24" spans="1:1">
      <c r="A24" s="16" t="s">
        <v>187</v>
      </c>
    </row>
    <row r="26" spans="1:1" ht="15.6">
      <c r="A26" s="17" t="s">
        <v>188</v>
      </c>
    </row>
    <row r="27" spans="1:1">
      <c r="A27" s="16"/>
    </row>
    <row r="28" spans="1:1">
      <c r="A28" s="16" t="s">
        <v>189</v>
      </c>
    </row>
    <row r="29" spans="1:1">
      <c r="A29" s="16"/>
    </row>
    <row r="30" spans="1:1">
      <c r="A30" s="16" t="s">
        <v>190</v>
      </c>
    </row>
    <row r="31" spans="1:1">
      <c r="A31" s="16"/>
    </row>
    <row r="32" spans="1:1">
      <c r="A32" s="16" t="s">
        <v>191</v>
      </c>
    </row>
    <row r="34" spans="1:1" ht="15.6">
      <c r="A34" s="17" t="s">
        <v>192</v>
      </c>
    </row>
    <row r="35" spans="1:1">
      <c r="A35" s="16"/>
    </row>
    <row r="36" spans="1:1">
      <c r="A36" s="16" t="s">
        <v>193</v>
      </c>
    </row>
    <row r="37" spans="1:1">
      <c r="A37" s="16"/>
    </row>
    <row r="38" spans="1:1">
      <c r="A38" s="16" t="s">
        <v>194</v>
      </c>
    </row>
    <row r="39" spans="1:1">
      <c r="A39" s="16"/>
    </row>
    <row r="40" spans="1:1">
      <c r="A40" s="16" t="s">
        <v>195</v>
      </c>
    </row>
    <row r="42" spans="1:1" ht="15.6">
      <c r="A42" s="17" t="s">
        <v>196</v>
      </c>
    </row>
    <row r="43" spans="1:1">
      <c r="A43" s="16"/>
    </row>
    <row r="44" spans="1:1">
      <c r="A44" s="16" t="s">
        <v>197</v>
      </c>
    </row>
    <row r="45" spans="1:1">
      <c r="A45" s="16"/>
    </row>
    <row r="46" spans="1:1">
      <c r="A46" s="16" t="s">
        <v>198</v>
      </c>
    </row>
    <row r="47" spans="1:1">
      <c r="A47" s="16"/>
    </row>
    <row r="48" spans="1:1">
      <c r="A48" s="16" t="s">
        <v>199</v>
      </c>
    </row>
    <row r="50" spans="1:1" ht="15.6">
      <c r="A50" s="17" t="s">
        <v>200</v>
      </c>
    </row>
    <row r="51" spans="1:1">
      <c r="A51" s="16"/>
    </row>
    <row r="52" spans="1:1">
      <c r="A52" s="16" t="s">
        <v>201</v>
      </c>
    </row>
    <row r="53" spans="1:1">
      <c r="A53" s="16"/>
    </row>
    <row r="54" spans="1:1">
      <c r="A54" s="16" t="s">
        <v>202</v>
      </c>
    </row>
    <row r="55" spans="1:1">
      <c r="A55" s="16"/>
    </row>
    <row r="56" spans="1:1">
      <c r="A56" s="16" t="s">
        <v>203</v>
      </c>
    </row>
    <row r="57" spans="1:1">
      <c r="A57" s="16"/>
    </row>
    <row r="58" spans="1:1">
      <c r="A58" s="16" t="s">
        <v>204</v>
      </c>
    </row>
    <row r="59" spans="1:1">
      <c r="A59" s="16"/>
    </row>
    <row r="60" spans="1:1">
      <c r="A60" s="16" t="s">
        <v>205</v>
      </c>
    </row>
  </sheetData>
  <hyperlinks>
    <hyperlink ref="D6" r:id="rId1" display="mailto:verma@gmail.com" xr:uid="{39F03140-1AB7-4B27-A715-E5A142FEBBA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C6A6-C67C-43C6-B292-A2617C5070BD}">
  <dimension ref="A1:F73"/>
  <sheetViews>
    <sheetView workbookViewId="0">
      <selection activeCell="E12" sqref="E12"/>
    </sheetView>
  </sheetViews>
  <sheetFormatPr defaultRowHeight="14.4"/>
  <cols>
    <col min="1" max="1" width="13.44140625" customWidth="1"/>
    <col min="2" max="2" width="14.77734375" customWidth="1"/>
    <col min="3" max="3" width="12" customWidth="1"/>
    <col min="4" max="4" width="24.44140625" customWidth="1"/>
    <col min="5" max="5" width="20.33203125" customWidth="1"/>
    <col min="6" max="6" width="17.88671875" customWidth="1"/>
  </cols>
  <sheetData>
    <row r="1" spans="1:6">
      <c r="A1" s="21" t="s">
        <v>212</v>
      </c>
    </row>
    <row r="3" spans="1:6" ht="21.6" customHeight="1">
      <c r="A3" s="12" t="s">
        <v>160</v>
      </c>
      <c r="B3" s="12" t="s">
        <v>161</v>
      </c>
      <c r="C3" s="12" t="s">
        <v>162</v>
      </c>
      <c r="D3" s="12" t="s">
        <v>163</v>
      </c>
      <c r="E3" s="12" t="s">
        <v>213</v>
      </c>
      <c r="F3" s="12" t="s">
        <v>65</v>
      </c>
    </row>
    <row r="4" spans="1:6" ht="21" customHeight="1">
      <c r="A4" s="11">
        <v>1</v>
      </c>
      <c r="B4" s="11" t="s">
        <v>214</v>
      </c>
      <c r="C4" s="11" t="s">
        <v>215</v>
      </c>
      <c r="D4" s="11" t="s">
        <v>216</v>
      </c>
      <c r="E4" s="11">
        <v>9876543210</v>
      </c>
      <c r="F4" s="11" t="s">
        <v>217</v>
      </c>
    </row>
    <row r="5" spans="1:6" ht="25.2" customHeight="1">
      <c r="A5" s="11">
        <v>2</v>
      </c>
      <c r="B5" s="11" t="s">
        <v>218</v>
      </c>
      <c r="C5" s="11" t="s">
        <v>219</v>
      </c>
      <c r="D5" s="25" t="s">
        <v>220</v>
      </c>
      <c r="E5" s="11">
        <v>9123456789</v>
      </c>
      <c r="F5" s="11" t="s">
        <v>73</v>
      </c>
    </row>
    <row r="6" spans="1:6" ht="22.2" customHeight="1">
      <c r="A6" s="11">
        <v>3</v>
      </c>
      <c r="B6" s="11" t="s">
        <v>221</v>
      </c>
      <c r="C6" s="11" t="s">
        <v>222</v>
      </c>
      <c r="D6" s="11" t="s">
        <v>223</v>
      </c>
      <c r="E6" s="11">
        <v>9988776655</v>
      </c>
      <c r="F6" s="11" t="s">
        <v>77</v>
      </c>
    </row>
    <row r="7" spans="1:6" ht="22.8" customHeight="1">
      <c r="A7" s="11">
        <v>4</v>
      </c>
      <c r="B7" s="11" t="s">
        <v>224</v>
      </c>
      <c r="C7" s="11" t="s">
        <v>225</v>
      </c>
      <c r="D7" s="25" t="s">
        <v>226</v>
      </c>
      <c r="E7" s="11">
        <v>9870012345</v>
      </c>
      <c r="F7" s="11" t="s">
        <v>93</v>
      </c>
    </row>
    <row r="8" spans="1:6" ht="19.8" customHeight="1">
      <c r="A8" s="11">
        <v>5</v>
      </c>
      <c r="B8" s="11" t="s">
        <v>227</v>
      </c>
      <c r="C8" s="11" t="s">
        <v>228</v>
      </c>
      <c r="D8" s="25" t="s">
        <v>229</v>
      </c>
      <c r="E8" s="11">
        <v>9001122334</v>
      </c>
      <c r="F8" s="11" t="s">
        <v>87</v>
      </c>
    </row>
    <row r="10" spans="1:6">
      <c r="A10" t="s">
        <v>230</v>
      </c>
    </row>
    <row r="12" spans="1:6" ht="23.4">
      <c r="A12" s="14" t="s">
        <v>231</v>
      </c>
    </row>
    <row r="14" spans="1:6" ht="18">
      <c r="A14" s="15" t="s">
        <v>232</v>
      </c>
    </row>
    <row r="15" spans="1:6">
      <c r="A15" s="16"/>
    </row>
    <row r="16" spans="1:6">
      <c r="A16" s="16" t="s">
        <v>233</v>
      </c>
    </row>
    <row r="17" spans="1:1">
      <c r="A17" s="16"/>
    </row>
    <row r="18" spans="1:1">
      <c r="A18" s="16" t="s">
        <v>234</v>
      </c>
    </row>
    <row r="19" spans="1:1">
      <c r="A19" s="16"/>
    </row>
    <row r="20" spans="1:1">
      <c r="A20" s="16" t="s">
        <v>235</v>
      </c>
    </row>
    <row r="22" spans="1:1" ht="18">
      <c r="A22" s="15" t="s">
        <v>236</v>
      </c>
    </row>
    <row r="23" spans="1:1">
      <c r="A23" s="16"/>
    </row>
    <row r="24" spans="1:1">
      <c r="A24" s="16" t="s">
        <v>237</v>
      </c>
    </row>
    <row r="25" spans="1:1">
      <c r="A25" s="16"/>
    </row>
    <row r="26" spans="1:1">
      <c r="A26" s="16" t="s">
        <v>238</v>
      </c>
    </row>
    <row r="27" spans="1:1">
      <c r="A27" s="16"/>
    </row>
    <row r="28" spans="1:1">
      <c r="A28" s="16" t="s">
        <v>239</v>
      </c>
    </row>
    <row r="30" spans="1:1" ht="18">
      <c r="A30" s="15" t="s">
        <v>240</v>
      </c>
    </row>
    <row r="31" spans="1:1">
      <c r="A31" s="16"/>
    </row>
    <row r="32" spans="1:1">
      <c r="A32" s="16" t="s">
        <v>241</v>
      </c>
    </row>
    <row r="33" spans="1:1">
      <c r="A33" s="16"/>
    </row>
    <row r="34" spans="1:1">
      <c r="A34" s="16" t="s">
        <v>242</v>
      </c>
    </row>
    <row r="35" spans="1:1">
      <c r="A35" s="16"/>
    </row>
    <row r="36" spans="1:1">
      <c r="A36" s="16" t="s">
        <v>243</v>
      </c>
    </row>
    <row r="38" spans="1:1" ht="18">
      <c r="A38" s="15" t="s">
        <v>244</v>
      </c>
    </row>
    <row r="39" spans="1:1">
      <c r="A39" s="16"/>
    </row>
    <row r="40" spans="1:1">
      <c r="A40" s="16" t="s">
        <v>245</v>
      </c>
    </row>
    <row r="41" spans="1:1">
      <c r="A41" s="16"/>
    </row>
    <row r="42" spans="1:1">
      <c r="A42" s="16" t="s">
        <v>246</v>
      </c>
    </row>
    <row r="43" spans="1:1">
      <c r="A43" s="16"/>
    </row>
    <row r="44" spans="1:1">
      <c r="A44" s="16" t="s">
        <v>247</v>
      </c>
    </row>
    <row r="46" spans="1:1" ht="18">
      <c r="A46" s="15" t="s">
        <v>248</v>
      </c>
    </row>
    <row r="47" spans="1:1">
      <c r="A47" s="16"/>
    </row>
    <row r="48" spans="1:1">
      <c r="A48" s="16" t="s">
        <v>249</v>
      </c>
    </row>
    <row r="49" spans="1:1">
      <c r="A49" s="16"/>
    </row>
    <row r="50" spans="1:1">
      <c r="A50" s="16" t="s">
        <v>250</v>
      </c>
    </row>
    <row r="51" spans="1:1">
      <c r="A51" s="16" t="s">
        <v>251</v>
      </c>
    </row>
    <row r="52" spans="1:1">
      <c r="A52" s="16"/>
    </row>
    <row r="53" spans="1:1">
      <c r="A53" s="16" t="s">
        <v>252</v>
      </c>
    </row>
    <row r="55" spans="1:1" ht="18">
      <c r="A55" s="15" t="s">
        <v>253</v>
      </c>
    </row>
    <row r="56" spans="1:1">
      <c r="A56" s="16"/>
    </row>
    <row r="57" spans="1:1">
      <c r="A57" s="16" t="s">
        <v>254</v>
      </c>
    </row>
    <row r="58" spans="1:1">
      <c r="A58" s="16"/>
    </row>
    <row r="59" spans="1:1">
      <c r="A59" s="16" t="s">
        <v>255</v>
      </c>
    </row>
    <row r="60" spans="1:1">
      <c r="A60" s="16"/>
    </row>
    <row r="61" spans="1:1">
      <c r="A61" s="16" t="s">
        <v>256</v>
      </c>
    </row>
    <row r="63" spans="1:1" ht="18">
      <c r="A63" s="15" t="s">
        <v>257</v>
      </c>
    </row>
    <row r="64" spans="1:1">
      <c r="A64" s="16"/>
    </row>
    <row r="65" spans="1:1">
      <c r="A65" s="16" t="s">
        <v>258</v>
      </c>
    </row>
    <row r="66" spans="1:1">
      <c r="A66" s="16"/>
    </row>
    <row r="67" spans="1:1">
      <c r="A67" s="16" t="s">
        <v>259</v>
      </c>
    </row>
    <row r="68" spans="1:1">
      <c r="A68" s="16"/>
    </row>
    <row r="69" spans="1:1">
      <c r="A69" s="16" t="s">
        <v>260</v>
      </c>
    </row>
    <row r="73" spans="1:1">
      <c r="A73" t="s">
        <v>261</v>
      </c>
    </row>
  </sheetData>
  <hyperlinks>
    <hyperlink ref="D5" r:id="rId1" display="mailto:rahul.sharma@yahoo.com" xr:uid="{0612064F-CB1E-45E7-B56C-C5299B48EE88}"/>
    <hyperlink ref="D7" r:id="rId2" display="mailto:amitg123@gmail.com" xr:uid="{0788D598-799E-48DA-B6DF-9165D9E3C424}"/>
    <hyperlink ref="D8" r:id="rId3" display="mailto:s.mehta@rediffmail.com" xr:uid="{0AC90249-DEDB-4C75-991B-E3319CB7642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3A38-01DA-4A9D-95CB-13510DFB3AA2}">
  <dimension ref="A1"/>
  <sheetViews>
    <sheetView workbookViewId="0">
      <selection activeCell="H21" sqref="H21"/>
    </sheetView>
  </sheetViews>
  <sheetFormatPr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668A-7541-4434-B077-35A0AE35C1F3}">
  <dimension ref="A1"/>
  <sheetViews>
    <sheetView workbookViewId="0"/>
  </sheetViews>
  <sheetFormatPr defaultRowHeight="14.4"/>
  <sheetData>
    <row r="1" spans="1:1">
      <c r="A1" t="s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C6E4-C6AB-4F6B-B1CE-4C0F126CE3D4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5FAF-5CE2-4DAF-AC39-38AE9FD71B06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954F-DB36-4318-85A6-F96E44D1E9B7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1D853-BEF6-4600-823E-EDCAA575F062}">
  <dimension ref="A1:D16"/>
  <sheetViews>
    <sheetView workbookViewId="0">
      <selection activeCell="C16" sqref="C16"/>
    </sheetView>
  </sheetViews>
  <sheetFormatPr defaultRowHeight="14.4"/>
  <cols>
    <col min="2" max="2" width="14.5546875" customWidth="1"/>
    <col min="3" max="3" width="11" customWidth="1"/>
    <col min="4" max="4" width="10.88671875" customWidth="1"/>
  </cols>
  <sheetData>
    <row r="1" spans="1:4">
      <c r="A1" s="31" t="s">
        <v>272</v>
      </c>
      <c r="B1" s="32"/>
    </row>
    <row r="3" spans="1:4">
      <c r="B3" s="2" t="s">
        <v>263</v>
      </c>
      <c r="C3" s="2" t="s">
        <v>264</v>
      </c>
      <c r="D3" s="2" t="s">
        <v>271</v>
      </c>
    </row>
    <row r="4" spans="1:4">
      <c r="B4" s="1" t="s">
        <v>265</v>
      </c>
      <c r="C4" s="1">
        <v>30</v>
      </c>
      <c r="D4" s="1" t="str">
        <f>IF(C4&gt;35,"Pass", "Fail")</f>
        <v>Fail</v>
      </c>
    </row>
    <row r="5" spans="1:4">
      <c r="B5" s="1" t="s">
        <v>266</v>
      </c>
      <c r="C5" s="1">
        <v>80</v>
      </c>
      <c r="D5" s="1" t="str">
        <f t="shared" ref="D5:D9" si="0">IF(C5&gt;35,"Pass", "Fail")</f>
        <v>Pass</v>
      </c>
    </row>
    <row r="6" spans="1:4">
      <c r="B6" s="1" t="s">
        <v>267</v>
      </c>
      <c r="C6" s="1">
        <v>56</v>
      </c>
      <c r="D6" s="1" t="str">
        <f t="shared" si="0"/>
        <v>Pass</v>
      </c>
    </row>
    <row r="7" spans="1:4">
      <c r="B7" s="1" t="s">
        <v>268</v>
      </c>
      <c r="C7" s="1">
        <v>71</v>
      </c>
      <c r="D7" s="1" t="str">
        <f t="shared" si="0"/>
        <v>Pass</v>
      </c>
    </row>
    <row r="8" spans="1:4">
      <c r="B8" s="1" t="s">
        <v>269</v>
      </c>
      <c r="C8" s="1">
        <v>65</v>
      </c>
      <c r="D8" s="1" t="str">
        <f t="shared" si="0"/>
        <v>Pass</v>
      </c>
    </row>
    <row r="9" spans="1:4">
      <c r="B9" s="1" t="s">
        <v>270</v>
      </c>
      <c r="C9" s="1">
        <v>63</v>
      </c>
      <c r="D9" s="1" t="str">
        <f t="shared" si="0"/>
        <v>Pass</v>
      </c>
    </row>
    <row r="11" spans="1:4">
      <c r="A11" s="31" t="s">
        <v>273</v>
      </c>
      <c r="B11" s="32"/>
    </row>
    <row r="13" spans="1:4">
      <c r="B13" t="s">
        <v>274</v>
      </c>
    </row>
    <row r="15" spans="1:4">
      <c r="B15">
        <v>1</v>
      </c>
      <c r="C15" t="str">
        <f>CHOOSE(B15, "Mon", "Tues", "Wed", "Thursday", "Fri", "Sat", "Sunday","Not Valid")</f>
        <v>Mon</v>
      </c>
    </row>
    <row r="16" spans="1:4">
      <c r="B16" t="s">
        <v>275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6988-F58B-4E06-9C50-D2F511EF45A8}">
  <dimension ref="A1"/>
  <sheetViews>
    <sheetView topLeftCell="A89" workbookViewId="0">
      <selection activeCell="Q1" sqref="Q1:Q1048576"/>
    </sheetView>
  </sheetViews>
  <sheetFormatPr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8DDD-19C8-4FC0-8A86-4685EA0DBCE4}">
  <dimension ref="A1:F325"/>
  <sheetViews>
    <sheetView topLeftCell="A254" workbookViewId="0">
      <selection activeCell="E302" sqref="E302"/>
    </sheetView>
  </sheetViews>
  <sheetFormatPr defaultRowHeight="14.4"/>
  <cols>
    <col min="1" max="1" width="11" bestFit="1" customWidth="1"/>
    <col min="2" max="2" width="10.33203125" bestFit="1" customWidth="1"/>
    <col min="3" max="3" width="12" bestFit="1" customWidth="1"/>
    <col min="4" max="4" width="10.5546875" bestFit="1" customWidth="1"/>
    <col min="5" max="5" width="7.33203125" bestFit="1" customWidth="1"/>
    <col min="6" max="6" width="12.109375" bestFit="1" customWidth="1"/>
  </cols>
  <sheetData>
    <row r="1" spans="1:6">
      <c r="A1" t="s">
        <v>276</v>
      </c>
      <c r="B1" t="s">
        <v>277</v>
      </c>
      <c r="C1" t="s">
        <v>278</v>
      </c>
      <c r="D1" t="s">
        <v>4</v>
      </c>
      <c r="E1" t="s">
        <v>279</v>
      </c>
      <c r="F1" t="s">
        <v>280</v>
      </c>
    </row>
    <row r="2" spans="1:6">
      <c r="A2" t="s">
        <v>281</v>
      </c>
      <c r="B2" s="33">
        <v>43252</v>
      </c>
      <c r="C2" t="s">
        <v>282</v>
      </c>
      <c r="D2">
        <v>55</v>
      </c>
      <c r="E2">
        <v>8</v>
      </c>
      <c r="F2">
        <v>440</v>
      </c>
    </row>
    <row r="3" spans="1:6">
      <c r="A3" t="s">
        <v>283</v>
      </c>
      <c r="B3" s="33">
        <v>43252</v>
      </c>
      <c r="C3" t="s">
        <v>284</v>
      </c>
      <c r="D3">
        <v>223</v>
      </c>
      <c r="E3">
        <v>457</v>
      </c>
      <c r="F3">
        <v>101911</v>
      </c>
    </row>
    <row r="4" spans="1:6">
      <c r="A4" t="s">
        <v>285</v>
      </c>
      <c r="B4" s="33">
        <v>43252</v>
      </c>
      <c r="C4" t="s">
        <v>286</v>
      </c>
      <c r="D4">
        <v>197</v>
      </c>
      <c r="E4">
        <v>284</v>
      </c>
      <c r="F4">
        <v>55948</v>
      </c>
    </row>
    <row r="5" spans="1:6">
      <c r="A5" t="s">
        <v>287</v>
      </c>
      <c r="B5" s="33">
        <v>43252</v>
      </c>
      <c r="C5" t="s">
        <v>288</v>
      </c>
      <c r="D5">
        <v>57</v>
      </c>
      <c r="E5">
        <v>159</v>
      </c>
      <c r="F5">
        <v>9063</v>
      </c>
    </row>
    <row r="6" spans="1:6">
      <c r="A6" t="s">
        <v>289</v>
      </c>
      <c r="B6" s="33">
        <v>43252</v>
      </c>
      <c r="C6" t="s">
        <v>290</v>
      </c>
      <c r="D6">
        <v>68</v>
      </c>
      <c r="E6">
        <v>138</v>
      </c>
      <c r="F6">
        <v>9384</v>
      </c>
    </row>
    <row r="7" spans="1:6">
      <c r="A7" t="s">
        <v>291</v>
      </c>
      <c r="B7" s="33">
        <v>43252</v>
      </c>
      <c r="C7" t="s">
        <v>286</v>
      </c>
      <c r="D7">
        <v>295</v>
      </c>
      <c r="E7">
        <v>80</v>
      </c>
      <c r="F7">
        <v>23600</v>
      </c>
    </row>
    <row r="8" spans="1:6">
      <c r="A8" t="s">
        <v>292</v>
      </c>
      <c r="B8" s="33">
        <v>43252</v>
      </c>
      <c r="C8" t="s">
        <v>284</v>
      </c>
      <c r="D8">
        <v>25</v>
      </c>
      <c r="E8">
        <v>77</v>
      </c>
      <c r="F8">
        <v>1925</v>
      </c>
    </row>
    <row r="9" spans="1:6">
      <c r="A9" t="s">
        <v>293</v>
      </c>
      <c r="B9" s="33">
        <v>43252</v>
      </c>
      <c r="C9" t="s">
        <v>286</v>
      </c>
      <c r="D9">
        <v>151</v>
      </c>
      <c r="E9">
        <v>163</v>
      </c>
      <c r="F9">
        <v>24613</v>
      </c>
    </row>
    <row r="10" spans="1:6">
      <c r="A10" t="s">
        <v>294</v>
      </c>
      <c r="B10" s="33">
        <v>43252</v>
      </c>
      <c r="C10" t="s">
        <v>282</v>
      </c>
      <c r="D10">
        <v>159</v>
      </c>
      <c r="E10">
        <v>63</v>
      </c>
      <c r="F10">
        <v>10017</v>
      </c>
    </row>
    <row r="11" spans="1:6">
      <c r="A11" t="s">
        <v>295</v>
      </c>
      <c r="B11" s="33">
        <v>43252</v>
      </c>
      <c r="C11" t="s">
        <v>288</v>
      </c>
      <c r="D11">
        <v>179</v>
      </c>
      <c r="E11">
        <v>151</v>
      </c>
      <c r="F11">
        <v>27029</v>
      </c>
    </row>
    <row r="12" spans="1:6">
      <c r="A12" t="s">
        <v>296</v>
      </c>
      <c r="B12" s="33">
        <v>43252</v>
      </c>
      <c r="C12" t="s">
        <v>288</v>
      </c>
      <c r="D12">
        <v>68</v>
      </c>
      <c r="E12">
        <v>138</v>
      </c>
      <c r="F12">
        <v>9384</v>
      </c>
    </row>
    <row r="13" spans="1:6">
      <c r="A13" t="s">
        <v>297</v>
      </c>
      <c r="B13" s="33">
        <v>43253</v>
      </c>
      <c r="C13" t="s">
        <v>284</v>
      </c>
      <c r="D13">
        <v>75</v>
      </c>
      <c r="E13">
        <v>29</v>
      </c>
      <c r="F13">
        <v>2175</v>
      </c>
    </row>
    <row r="14" spans="1:6">
      <c r="A14" t="s">
        <v>298</v>
      </c>
      <c r="B14" s="33">
        <v>43253</v>
      </c>
      <c r="C14" t="s">
        <v>290</v>
      </c>
      <c r="D14">
        <v>261</v>
      </c>
      <c r="E14">
        <v>178</v>
      </c>
      <c r="F14">
        <v>46458</v>
      </c>
    </row>
    <row r="15" spans="1:6">
      <c r="A15" t="s">
        <v>299</v>
      </c>
      <c r="B15" s="33">
        <v>43253</v>
      </c>
      <c r="C15" t="s">
        <v>290</v>
      </c>
      <c r="D15">
        <v>133</v>
      </c>
      <c r="E15">
        <v>353</v>
      </c>
      <c r="F15">
        <v>46949</v>
      </c>
    </row>
    <row r="16" spans="1:6">
      <c r="A16" t="s">
        <v>300</v>
      </c>
      <c r="B16" s="33">
        <v>43253</v>
      </c>
      <c r="C16" t="s">
        <v>288</v>
      </c>
      <c r="D16">
        <v>273</v>
      </c>
      <c r="E16">
        <v>257</v>
      </c>
      <c r="F16">
        <v>70161</v>
      </c>
    </row>
    <row r="17" spans="1:6">
      <c r="A17" t="s">
        <v>301</v>
      </c>
      <c r="B17" s="33">
        <v>43253</v>
      </c>
      <c r="C17" t="s">
        <v>284</v>
      </c>
      <c r="D17">
        <v>123</v>
      </c>
      <c r="E17">
        <v>23</v>
      </c>
      <c r="F17">
        <v>2829</v>
      </c>
    </row>
    <row r="18" spans="1:6">
      <c r="A18" t="s">
        <v>302</v>
      </c>
      <c r="B18" s="33">
        <v>43253</v>
      </c>
      <c r="C18" t="s">
        <v>288</v>
      </c>
      <c r="D18">
        <v>160</v>
      </c>
      <c r="E18">
        <v>477</v>
      </c>
      <c r="F18">
        <v>76320</v>
      </c>
    </row>
    <row r="19" spans="1:6">
      <c r="A19" t="s">
        <v>303</v>
      </c>
      <c r="B19" s="33">
        <v>43253</v>
      </c>
      <c r="C19" t="s">
        <v>282</v>
      </c>
      <c r="D19">
        <v>40</v>
      </c>
      <c r="E19">
        <v>367</v>
      </c>
      <c r="F19">
        <v>14680</v>
      </c>
    </row>
    <row r="20" spans="1:6">
      <c r="A20" t="s">
        <v>304</v>
      </c>
      <c r="B20" s="33">
        <v>43254</v>
      </c>
      <c r="C20" t="s">
        <v>288</v>
      </c>
      <c r="D20">
        <v>174</v>
      </c>
      <c r="E20">
        <v>361</v>
      </c>
      <c r="F20">
        <v>62814</v>
      </c>
    </row>
    <row r="21" spans="1:6">
      <c r="A21" t="s">
        <v>305</v>
      </c>
      <c r="B21" s="33">
        <v>43254</v>
      </c>
      <c r="C21" t="s">
        <v>282</v>
      </c>
      <c r="D21">
        <v>154</v>
      </c>
      <c r="E21">
        <v>21</v>
      </c>
      <c r="F21">
        <v>3234</v>
      </c>
    </row>
    <row r="22" spans="1:6">
      <c r="A22" t="s">
        <v>306</v>
      </c>
      <c r="B22" s="33">
        <v>43254</v>
      </c>
      <c r="C22" t="s">
        <v>286</v>
      </c>
      <c r="D22">
        <v>86</v>
      </c>
      <c r="E22">
        <v>473</v>
      </c>
      <c r="F22">
        <v>40678</v>
      </c>
    </row>
    <row r="23" spans="1:6">
      <c r="A23" t="s">
        <v>307</v>
      </c>
      <c r="B23" s="33">
        <v>43254</v>
      </c>
      <c r="C23" t="s">
        <v>284</v>
      </c>
      <c r="D23">
        <v>192</v>
      </c>
      <c r="E23">
        <v>52</v>
      </c>
      <c r="F23">
        <v>9984</v>
      </c>
    </row>
    <row r="24" spans="1:6">
      <c r="A24" t="s">
        <v>308</v>
      </c>
      <c r="B24" s="33">
        <v>43254</v>
      </c>
      <c r="C24" t="s">
        <v>286</v>
      </c>
      <c r="D24">
        <v>42</v>
      </c>
      <c r="E24">
        <v>82</v>
      </c>
      <c r="F24">
        <v>3444</v>
      </c>
    </row>
    <row r="25" spans="1:6">
      <c r="A25" t="s">
        <v>309</v>
      </c>
      <c r="B25" s="33">
        <v>43254</v>
      </c>
      <c r="C25" t="s">
        <v>286</v>
      </c>
      <c r="D25">
        <v>10</v>
      </c>
      <c r="E25">
        <v>384</v>
      </c>
      <c r="F25">
        <v>3840</v>
      </c>
    </row>
    <row r="26" spans="1:6">
      <c r="A26" t="s">
        <v>310</v>
      </c>
      <c r="B26" s="33">
        <v>43254</v>
      </c>
      <c r="C26" t="s">
        <v>286</v>
      </c>
      <c r="D26">
        <v>285</v>
      </c>
      <c r="E26">
        <v>127</v>
      </c>
      <c r="F26">
        <v>36195</v>
      </c>
    </row>
    <row r="27" spans="1:6">
      <c r="A27" t="s">
        <v>311</v>
      </c>
      <c r="B27" s="33">
        <v>43254</v>
      </c>
      <c r="C27" t="s">
        <v>288</v>
      </c>
      <c r="D27">
        <v>283</v>
      </c>
      <c r="E27">
        <v>453</v>
      </c>
      <c r="F27">
        <v>128199</v>
      </c>
    </row>
    <row r="28" spans="1:6">
      <c r="A28" t="s">
        <v>312</v>
      </c>
      <c r="B28" s="33">
        <v>43254</v>
      </c>
      <c r="C28" t="s">
        <v>286</v>
      </c>
      <c r="D28">
        <v>226</v>
      </c>
      <c r="E28">
        <v>46</v>
      </c>
      <c r="F28">
        <v>10396</v>
      </c>
    </row>
    <row r="29" spans="1:6">
      <c r="A29" t="s">
        <v>313</v>
      </c>
      <c r="B29" s="33">
        <v>43254</v>
      </c>
      <c r="C29" t="s">
        <v>290</v>
      </c>
      <c r="D29">
        <v>292</v>
      </c>
      <c r="E29">
        <v>58</v>
      </c>
      <c r="F29">
        <v>16936</v>
      </c>
    </row>
    <row r="30" spans="1:6">
      <c r="A30" t="s">
        <v>314</v>
      </c>
      <c r="B30" s="33">
        <v>43254</v>
      </c>
      <c r="C30" t="s">
        <v>282</v>
      </c>
      <c r="D30">
        <v>55</v>
      </c>
      <c r="E30">
        <v>313</v>
      </c>
      <c r="F30">
        <v>17215</v>
      </c>
    </row>
    <row r="31" spans="1:6">
      <c r="A31" t="s">
        <v>315</v>
      </c>
      <c r="B31" s="33">
        <v>43254</v>
      </c>
      <c r="C31" t="s">
        <v>282</v>
      </c>
      <c r="D31">
        <v>275</v>
      </c>
      <c r="E31">
        <v>373</v>
      </c>
      <c r="F31">
        <v>102575</v>
      </c>
    </row>
    <row r="32" spans="1:6">
      <c r="A32" t="s">
        <v>316</v>
      </c>
      <c r="B32" s="33">
        <v>43254</v>
      </c>
      <c r="C32" t="s">
        <v>282</v>
      </c>
      <c r="D32">
        <v>263</v>
      </c>
      <c r="E32">
        <v>133</v>
      </c>
      <c r="F32">
        <v>34979</v>
      </c>
    </row>
    <row r="33" spans="1:6">
      <c r="A33" t="s">
        <v>317</v>
      </c>
      <c r="B33" s="33">
        <v>43255</v>
      </c>
      <c r="C33" t="s">
        <v>290</v>
      </c>
      <c r="D33">
        <v>104</v>
      </c>
      <c r="E33">
        <v>182</v>
      </c>
      <c r="F33">
        <v>18928</v>
      </c>
    </row>
    <row r="34" spans="1:6">
      <c r="A34" t="s">
        <v>318</v>
      </c>
      <c r="B34" s="33">
        <v>43255</v>
      </c>
      <c r="C34" t="s">
        <v>288</v>
      </c>
      <c r="D34">
        <v>69</v>
      </c>
      <c r="E34">
        <v>316</v>
      </c>
      <c r="F34">
        <v>21804</v>
      </c>
    </row>
    <row r="35" spans="1:6">
      <c r="A35" t="s">
        <v>319</v>
      </c>
      <c r="B35" s="33">
        <v>43255</v>
      </c>
      <c r="C35" t="s">
        <v>286</v>
      </c>
      <c r="D35">
        <v>110</v>
      </c>
      <c r="E35">
        <v>34</v>
      </c>
      <c r="F35">
        <v>3740</v>
      </c>
    </row>
    <row r="36" spans="1:6">
      <c r="A36" t="s">
        <v>320</v>
      </c>
      <c r="B36" s="33">
        <v>43255</v>
      </c>
      <c r="C36" t="s">
        <v>290</v>
      </c>
      <c r="D36">
        <v>96</v>
      </c>
      <c r="E36">
        <v>157</v>
      </c>
      <c r="F36">
        <v>15072</v>
      </c>
    </row>
    <row r="37" spans="1:6">
      <c r="A37" t="s">
        <v>321</v>
      </c>
      <c r="B37" s="33">
        <v>43255</v>
      </c>
      <c r="C37" t="s">
        <v>286</v>
      </c>
      <c r="D37">
        <v>23</v>
      </c>
      <c r="E37">
        <v>357</v>
      </c>
      <c r="F37">
        <v>8211</v>
      </c>
    </row>
    <row r="38" spans="1:6">
      <c r="A38" t="s">
        <v>322</v>
      </c>
      <c r="B38" s="33">
        <v>43255</v>
      </c>
      <c r="C38" t="s">
        <v>284</v>
      </c>
      <c r="D38">
        <v>187</v>
      </c>
      <c r="E38">
        <v>41</v>
      </c>
      <c r="F38">
        <v>7667</v>
      </c>
    </row>
    <row r="39" spans="1:6">
      <c r="A39" t="s">
        <v>323</v>
      </c>
      <c r="B39" s="33">
        <v>43255</v>
      </c>
      <c r="C39" t="s">
        <v>290</v>
      </c>
      <c r="D39">
        <v>228</v>
      </c>
      <c r="E39">
        <v>467</v>
      </c>
      <c r="F39">
        <v>106476</v>
      </c>
    </row>
    <row r="40" spans="1:6">
      <c r="A40" t="s">
        <v>324</v>
      </c>
      <c r="B40" s="33">
        <v>43255</v>
      </c>
      <c r="C40" t="s">
        <v>284</v>
      </c>
      <c r="D40">
        <v>53</v>
      </c>
      <c r="E40">
        <v>68</v>
      </c>
      <c r="F40">
        <v>3604</v>
      </c>
    </row>
    <row r="41" spans="1:6">
      <c r="A41" t="s">
        <v>325</v>
      </c>
      <c r="B41" s="33">
        <v>43255</v>
      </c>
      <c r="C41" t="s">
        <v>286</v>
      </c>
      <c r="D41">
        <v>235</v>
      </c>
      <c r="E41">
        <v>51</v>
      </c>
      <c r="F41">
        <v>11985</v>
      </c>
    </row>
    <row r="42" spans="1:6">
      <c r="A42" t="s">
        <v>326</v>
      </c>
      <c r="B42" s="33">
        <v>43256</v>
      </c>
      <c r="C42" t="s">
        <v>282</v>
      </c>
      <c r="D42">
        <v>87</v>
      </c>
      <c r="E42">
        <v>359</v>
      </c>
      <c r="F42">
        <v>31233</v>
      </c>
    </row>
    <row r="43" spans="1:6">
      <c r="A43" t="s">
        <v>327</v>
      </c>
      <c r="B43" s="33">
        <v>43256</v>
      </c>
      <c r="C43" t="s">
        <v>282</v>
      </c>
      <c r="D43">
        <v>160</v>
      </c>
      <c r="E43">
        <v>37</v>
      </c>
      <c r="F43">
        <v>5920</v>
      </c>
    </row>
    <row r="44" spans="1:6">
      <c r="A44" t="s">
        <v>328</v>
      </c>
      <c r="B44" s="33">
        <v>43256</v>
      </c>
      <c r="C44" t="s">
        <v>286</v>
      </c>
      <c r="D44">
        <v>26</v>
      </c>
      <c r="E44">
        <v>48</v>
      </c>
      <c r="F44">
        <v>1248</v>
      </c>
    </row>
    <row r="45" spans="1:6">
      <c r="A45" t="s">
        <v>329</v>
      </c>
      <c r="B45" s="33">
        <v>43256</v>
      </c>
      <c r="C45" t="s">
        <v>288</v>
      </c>
      <c r="D45">
        <v>196</v>
      </c>
      <c r="E45">
        <v>370</v>
      </c>
      <c r="F45">
        <v>72520</v>
      </c>
    </row>
    <row r="46" spans="1:6">
      <c r="A46" t="s">
        <v>330</v>
      </c>
      <c r="B46" s="33">
        <v>43256</v>
      </c>
      <c r="C46" t="s">
        <v>290</v>
      </c>
      <c r="D46">
        <v>27</v>
      </c>
      <c r="E46">
        <v>98</v>
      </c>
      <c r="F46">
        <v>2646</v>
      </c>
    </row>
    <row r="47" spans="1:6">
      <c r="A47" t="s">
        <v>331</v>
      </c>
      <c r="B47" s="33">
        <v>43256</v>
      </c>
      <c r="C47" t="s">
        <v>288</v>
      </c>
      <c r="D47">
        <v>48</v>
      </c>
      <c r="E47">
        <v>35</v>
      </c>
      <c r="F47">
        <v>1680</v>
      </c>
    </row>
    <row r="48" spans="1:6">
      <c r="A48" t="s">
        <v>332</v>
      </c>
      <c r="B48" s="33">
        <v>43256</v>
      </c>
      <c r="C48" t="s">
        <v>290</v>
      </c>
      <c r="D48">
        <v>249</v>
      </c>
      <c r="E48">
        <v>335</v>
      </c>
      <c r="F48">
        <v>83415</v>
      </c>
    </row>
    <row r="49" spans="1:6">
      <c r="A49" t="s">
        <v>333</v>
      </c>
      <c r="B49" s="33">
        <v>43256</v>
      </c>
      <c r="C49" t="s">
        <v>282</v>
      </c>
      <c r="D49">
        <v>213</v>
      </c>
      <c r="E49">
        <v>121</v>
      </c>
      <c r="F49">
        <v>25773</v>
      </c>
    </row>
    <row r="50" spans="1:6">
      <c r="A50" t="s">
        <v>334</v>
      </c>
      <c r="B50" s="33">
        <v>43257</v>
      </c>
      <c r="C50" t="s">
        <v>288</v>
      </c>
      <c r="D50">
        <v>50</v>
      </c>
      <c r="E50">
        <v>125</v>
      </c>
      <c r="F50">
        <v>6250</v>
      </c>
    </row>
    <row r="51" spans="1:6">
      <c r="A51" t="s">
        <v>335</v>
      </c>
      <c r="B51" s="33">
        <v>43257</v>
      </c>
      <c r="C51" t="s">
        <v>286</v>
      </c>
      <c r="D51">
        <v>294</v>
      </c>
      <c r="E51">
        <v>106</v>
      </c>
      <c r="F51">
        <v>31164</v>
      </c>
    </row>
    <row r="52" spans="1:6">
      <c r="A52" t="s">
        <v>336</v>
      </c>
      <c r="B52" s="33">
        <v>43257</v>
      </c>
      <c r="C52" t="s">
        <v>286</v>
      </c>
      <c r="D52">
        <v>180</v>
      </c>
      <c r="E52">
        <v>126</v>
      </c>
      <c r="F52">
        <v>22680</v>
      </c>
    </row>
    <row r="53" spans="1:6">
      <c r="A53" t="s">
        <v>337</v>
      </c>
      <c r="B53" s="33">
        <v>43257</v>
      </c>
      <c r="C53" t="s">
        <v>286</v>
      </c>
      <c r="D53">
        <v>246</v>
      </c>
      <c r="E53">
        <v>489</v>
      </c>
      <c r="F53">
        <v>120294</v>
      </c>
    </row>
    <row r="54" spans="1:6">
      <c r="A54" t="s">
        <v>338</v>
      </c>
      <c r="B54" s="33">
        <v>43257</v>
      </c>
      <c r="C54" t="s">
        <v>288</v>
      </c>
      <c r="D54">
        <v>291</v>
      </c>
      <c r="E54">
        <v>284</v>
      </c>
      <c r="F54">
        <v>82644</v>
      </c>
    </row>
    <row r="55" spans="1:6">
      <c r="A55" t="s">
        <v>339</v>
      </c>
      <c r="B55" s="33">
        <v>43257</v>
      </c>
      <c r="C55" t="s">
        <v>284</v>
      </c>
      <c r="D55">
        <v>284</v>
      </c>
      <c r="E55">
        <v>435</v>
      </c>
      <c r="F55">
        <v>123540</v>
      </c>
    </row>
    <row r="56" spans="1:6">
      <c r="A56" t="s">
        <v>340</v>
      </c>
      <c r="B56" s="33">
        <v>43257</v>
      </c>
      <c r="C56" t="s">
        <v>290</v>
      </c>
      <c r="D56">
        <v>114</v>
      </c>
      <c r="E56">
        <v>34</v>
      </c>
      <c r="F56">
        <v>3876</v>
      </c>
    </row>
    <row r="57" spans="1:6">
      <c r="A57" t="s">
        <v>341</v>
      </c>
      <c r="B57" s="33">
        <v>43257</v>
      </c>
      <c r="C57" t="s">
        <v>286</v>
      </c>
      <c r="D57">
        <v>20</v>
      </c>
      <c r="E57">
        <v>59</v>
      </c>
      <c r="F57">
        <v>1180</v>
      </c>
    </row>
    <row r="58" spans="1:6">
      <c r="A58" t="s">
        <v>342</v>
      </c>
      <c r="B58" s="33">
        <v>43257</v>
      </c>
      <c r="C58" t="s">
        <v>284</v>
      </c>
      <c r="D58">
        <v>261</v>
      </c>
      <c r="E58">
        <v>48</v>
      </c>
      <c r="F58">
        <v>12528</v>
      </c>
    </row>
    <row r="59" spans="1:6">
      <c r="A59" t="s">
        <v>343</v>
      </c>
      <c r="B59" s="33">
        <v>43257</v>
      </c>
      <c r="C59" t="s">
        <v>282</v>
      </c>
      <c r="D59">
        <v>154</v>
      </c>
      <c r="E59">
        <v>311</v>
      </c>
      <c r="F59">
        <v>47894</v>
      </c>
    </row>
    <row r="60" spans="1:6">
      <c r="A60" t="s">
        <v>344</v>
      </c>
      <c r="B60" s="33">
        <v>43257</v>
      </c>
      <c r="C60" t="s">
        <v>286</v>
      </c>
      <c r="D60">
        <v>294</v>
      </c>
      <c r="E60">
        <v>487</v>
      </c>
      <c r="F60">
        <v>143178</v>
      </c>
    </row>
    <row r="61" spans="1:6">
      <c r="A61" t="s">
        <v>345</v>
      </c>
      <c r="B61" s="33">
        <v>43257</v>
      </c>
      <c r="C61" t="s">
        <v>290</v>
      </c>
      <c r="D61">
        <v>220</v>
      </c>
      <c r="E61">
        <v>15</v>
      </c>
      <c r="F61">
        <v>3300</v>
      </c>
    </row>
    <row r="62" spans="1:6">
      <c r="A62" t="s">
        <v>346</v>
      </c>
      <c r="B62" s="33">
        <v>43257</v>
      </c>
      <c r="C62" t="s">
        <v>286</v>
      </c>
      <c r="D62">
        <v>87</v>
      </c>
      <c r="E62">
        <v>98</v>
      </c>
      <c r="F62">
        <v>8526</v>
      </c>
    </row>
    <row r="63" spans="1:6">
      <c r="A63" t="s">
        <v>347</v>
      </c>
      <c r="B63" s="33">
        <v>43257</v>
      </c>
      <c r="C63" t="s">
        <v>284</v>
      </c>
      <c r="D63">
        <v>16</v>
      </c>
      <c r="E63">
        <v>300</v>
      </c>
      <c r="F63">
        <v>4800</v>
      </c>
    </row>
    <row r="64" spans="1:6">
      <c r="A64" t="s">
        <v>348</v>
      </c>
      <c r="B64" s="33">
        <v>43257</v>
      </c>
      <c r="C64" t="s">
        <v>282</v>
      </c>
      <c r="D64">
        <v>229</v>
      </c>
      <c r="E64">
        <v>61</v>
      </c>
      <c r="F64">
        <v>13969</v>
      </c>
    </row>
    <row r="65" spans="1:6">
      <c r="A65" t="s">
        <v>349</v>
      </c>
      <c r="B65" s="33">
        <v>43258</v>
      </c>
      <c r="C65" t="s">
        <v>290</v>
      </c>
      <c r="D65">
        <v>262</v>
      </c>
      <c r="E65">
        <v>32</v>
      </c>
      <c r="F65">
        <v>8384</v>
      </c>
    </row>
    <row r="66" spans="1:6">
      <c r="A66" t="s">
        <v>350</v>
      </c>
      <c r="B66" s="33">
        <v>43258</v>
      </c>
      <c r="C66" t="s">
        <v>284</v>
      </c>
      <c r="D66">
        <v>41</v>
      </c>
      <c r="E66">
        <v>57</v>
      </c>
      <c r="F66">
        <v>2337</v>
      </c>
    </row>
    <row r="67" spans="1:6">
      <c r="A67" t="s">
        <v>351</v>
      </c>
      <c r="B67" s="33">
        <v>43258</v>
      </c>
      <c r="C67" t="s">
        <v>290</v>
      </c>
      <c r="D67">
        <v>80</v>
      </c>
      <c r="E67">
        <v>492</v>
      </c>
      <c r="F67">
        <v>39360</v>
      </c>
    </row>
    <row r="68" spans="1:6">
      <c r="A68" t="s">
        <v>352</v>
      </c>
      <c r="B68" s="33">
        <v>43258</v>
      </c>
      <c r="C68" t="s">
        <v>288</v>
      </c>
      <c r="D68">
        <v>208</v>
      </c>
      <c r="E68">
        <v>370</v>
      </c>
      <c r="F68">
        <v>76960</v>
      </c>
    </row>
    <row r="69" spans="1:6">
      <c r="A69" t="s">
        <v>353</v>
      </c>
      <c r="B69" s="33">
        <v>43258</v>
      </c>
      <c r="C69" t="s">
        <v>282</v>
      </c>
      <c r="D69">
        <v>245</v>
      </c>
      <c r="E69">
        <v>29</v>
      </c>
      <c r="F69">
        <v>7105</v>
      </c>
    </row>
    <row r="70" spans="1:6">
      <c r="A70" t="s">
        <v>354</v>
      </c>
      <c r="B70" s="33">
        <v>43258</v>
      </c>
      <c r="C70" t="s">
        <v>290</v>
      </c>
      <c r="D70">
        <v>266</v>
      </c>
      <c r="E70">
        <v>280</v>
      </c>
      <c r="F70">
        <v>74480</v>
      </c>
    </row>
    <row r="71" spans="1:6">
      <c r="A71" t="s">
        <v>355</v>
      </c>
      <c r="B71" s="33">
        <v>43258</v>
      </c>
      <c r="C71" t="s">
        <v>286</v>
      </c>
      <c r="D71">
        <v>204</v>
      </c>
      <c r="E71">
        <v>10</v>
      </c>
      <c r="F71">
        <v>2040</v>
      </c>
    </row>
    <row r="72" spans="1:6">
      <c r="A72" t="s">
        <v>356</v>
      </c>
      <c r="B72" s="33">
        <v>43258</v>
      </c>
      <c r="C72" t="s">
        <v>290</v>
      </c>
      <c r="D72">
        <v>119</v>
      </c>
      <c r="E72">
        <v>338</v>
      </c>
      <c r="F72">
        <v>40222</v>
      </c>
    </row>
    <row r="73" spans="1:6">
      <c r="A73" t="s">
        <v>357</v>
      </c>
      <c r="B73" s="33">
        <v>43258</v>
      </c>
      <c r="C73" t="s">
        <v>284</v>
      </c>
      <c r="D73">
        <v>180</v>
      </c>
      <c r="E73">
        <v>316</v>
      </c>
      <c r="F73">
        <v>56880</v>
      </c>
    </row>
    <row r="74" spans="1:6">
      <c r="A74" t="s">
        <v>358</v>
      </c>
      <c r="B74" s="33">
        <v>43258</v>
      </c>
      <c r="C74" t="s">
        <v>286</v>
      </c>
      <c r="D74">
        <v>229</v>
      </c>
      <c r="E74">
        <v>218</v>
      </c>
      <c r="F74">
        <v>49922</v>
      </c>
    </row>
    <row r="75" spans="1:6">
      <c r="A75" t="s">
        <v>359</v>
      </c>
      <c r="B75" s="33">
        <v>43258</v>
      </c>
      <c r="C75" t="s">
        <v>286</v>
      </c>
      <c r="D75">
        <v>11</v>
      </c>
      <c r="E75">
        <v>336</v>
      </c>
      <c r="F75">
        <v>3696</v>
      </c>
    </row>
    <row r="76" spans="1:6">
      <c r="A76" t="s">
        <v>360</v>
      </c>
      <c r="B76" s="33">
        <v>43258</v>
      </c>
      <c r="C76" t="s">
        <v>284</v>
      </c>
      <c r="D76">
        <v>51</v>
      </c>
      <c r="E76">
        <v>345</v>
      </c>
      <c r="F76">
        <v>17595</v>
      </c>
    </row>
    <row r="77" spans="1:6">
      <c r="A77" t="s">
        <v>361</v>
      </c>
      <c r="B77" s="33">
        <v>43258</v>
      </c>
      <c r="C77" t="s">
        <v>282</v>
      </c>
      <c r="D77">
        <v>153</v>
      </c>
      <c r="E77">
        <v>404</v>
      </c>
      <c r="F77">
        <v>61812</v>
      </c>
    </row>
    <row r="78" spans="1:6">
      <c r="A78" t="s">
        <v>362</v>
      </c>
      <c r="B78" s="33">
        <v>43259</v>
      </c>
      <c r="C78" t="s">
        <v>286</v>
      </c>
      <c r="D78">
        <v>42</v>
      </c>
      <c r="E78">
        <v>374</v>
      </c>
      <c r="F78">
        <v>15708</v>
      </c>
    </row>
    <row r="79" spans="1:6">
      <c r="A79" t="s">
        <v>363</v>
      </c>
      <c r="B79" s="33">
        <v>43259</v>
      </c>
      <c r="C79" t="s">
        <v>282</v>
      </c>
      <c r="D79">
        <v>54</v>
      </c>
      <c r="E79">
        <v>390</v>
      </c>
      <c r="F79">
        <v>21060</v>
      </c>
    </row>
    <row r="80" spans="1:6">
      <c r="A80" t="s">
        <v>364</v>
      </c>
      <c r="B80" s="33">
        <v>43259</v>
      </c>
      <c r="C80" t="s">
        <v>286</v>
      </c>
      <c r="D80">
        <v>122</v>
      </c>
      <c r="E80">
        <v>320</v>
      </c>
      <c r="F80">
        <v>39040</v>
      </c>
    </row>
    <row r="81" spans="1:6">
      <c r="A81" t="s">
        <v>365</v>
      </c>
      <c r="B81" s="33">
        <v>43259</v>
      </c>
      <c r="C81" t="s">
        <v>286</v>
      </c>
      <c r="D81">
        <v>99</v>
      </c>
      <c r="E81">
        <v>336</v>
      </c>
      <c r="F81">
        <v>33264</v>
      </c>
    </row>
    <row r="82" spans="1:6">
      <c r="A82" t="s">
        <v>366</v>
      </c>
      <c r="B82" s="33">
        <v>43259</v>
      </c>
      <c r="C82" t="s">
        <v>286</v>
      </c>
      <c r="D82">
        <v>69</v>
      </c>
      <c r="E82">
        <v>361</v>
      </c>
      <c r="F82">
        <v>24909</v>
      </c>
    </row>
    <row r="83" spans="1:6">
      <c r="A83" t="s">
        <v>367</v>
      </c>
      <c r="B83" s="33">
        <v>43259</v>
      </c>
      <c r="C83" t="s">
        <v>288</v>
      </c>
      <c r="D83">
        <v>193</v>
      </c>
      <c r="E83">
        <v>252</v>
      </c>
      <c r="F83">
        <v>48636</v>
      </c>
    </row>
    <row r="84" spans="1:6">
      <c r="A84" t="s">
        <v>368</v>
      </c>
      <c r="B84" s="33">
        <v>43259</v>
      </c>
      <c r="C84" t="s">
        <v>286</v>
      </c>
      <c r="D84">
        <v>146</v>
      </c>
      <c r="E84">
        <v>31</v>
      </c>
      <c r="F84">
        <v>4526</v>
      </c>
    </row>
    <row r="85" spans="1:6">
      <c r="A85" t="s">
        <v>369</v>
      </c>
      <c r="B85" s="33">
        <v>43259</v>
      </c>
      <c r="C85" t="s">
        <v>288</v>
      </c>
      <c r="D85">
        <v>148</v>
      </c>
      <c r="E85">
        <v>147</v>
      </c>
      <c r="F85">
        <v>21756</v>
      </c>
    </row>
    <row r="86" spans="1:6">
      <c r="A86" t="s">
        <v>370</v>
      </c>
      <c r="B86" s="33">
        <v>43259</v>
      </c>
      <c r="C86" t="s">
        <v>286</v>
      </c>
      <c r="D86">
        <v>203</v>
      </c>
      <c r="E86">
        <v>270</v>
      </c>
      <c r="F86">
        <v>54810</v>
      </c>
    </row>
    <row r="87" spans="1:6">
      <c r="A87" t="s">
        <v>371</v>
      </c>
      <c r="B87" s="33">
        <v>43259</v>
      </c>
      <c r="C87" t="s">
        <v>288</v>
      </c>
      <c r="D87">
        <v>136</v>
      </c>
      <c r="E87">
        <v>498</v>
      </c>
      <c r="F87">
        <v>67728</v>
      </c>
    </row>
    <row r="88" spans="1:6">
      <c r="A88" t="s">
        <v>372</v>
      </c>
      <c r="B88" s="33">
        <v>43259</v>
      </c>
      <c r="C88" t="s">
        <v>288</v>
      </c>
      <c r="D88">
        <v>177</v>
      </c>
      <c r="E88">
        <v>221</v>
      </c>
      <c r="F88">
        <v>39117</v>
      </c>
    </row>
    <row r="89" spans="1:6">
      <c r="A89" t="s">
        <v>373</v>
      </c>
      <c r="B89" s="33">
        <v>43260</v>
      </c>
      <c r="C89" t="s">
        <v>284</v>
      </c>
      <c r="D89">
        <v>285</v>
      </c>
      <c r="E89">
        <v>20</v>
      </c>
      <c r="F89">
        <v>5700</v>
      </c>
    </row>
    <row r="90" spans="1:6">
      <c r="A90" t="s">
        <v>374</v>
      </c>
      <c r="B90" s="33">
        <v>43260</v>
      </c>
      <c r="C90" t="s">
        <v>290</v>
      </c>
      <c r="D90">
        <v>285</v>
      </c>
      <c r="E90">
        <v>459</v>
      </c>
      <c r="F90">
        <v>130815</v>
      </c>
    </row>
    <row r="91" spans="1:6">
      <c r="A91" t="s">
        <v>375</v>
      </c>
      <c r="B91" s="33">
        <v>43260</v>
      </c>
      <c r="C91" t="s">
        <v>290</v>
      </c>
      <c r="D91">
        <v>70</v>
      </c>
      <c r="E91">
        <v>42</v>
      </c>
      <c r="F91">
        <v>2940</v>
      </c>
    </row>
    <row r="92" spans="1:6">
      <c r="A92" t="s">
        <v>376</v>
      </c>
      <c r="B92" s="33">
        <v>43260</v>
      </c>
      <c r="C92" t="s">
        <v>286</v>
      </c>
      <c r="D92">
        <v>213</v>
      </c>
      <c r="E92">
        <v>279</v>
      </c>
      <c r="F92">
        <v>59427</v>
      </c>
    </row>
    <row r="93" spans="1:6">
      <c r="A93" t="s">
        <v>377</v>
      </c>
      <c r="B93" s="33">
        <v>43260</v>
      </c>
      <c r="C93" t="s">
        <v>282</v>
      </c>
      <c r="D93">
        <v>269</v>
      </c>
      <c r="E93">
        <v>176</v>
      </c>
      <c r="F93">
        <v>47344</v>
      </c>
    </row>
    <row r="94" spans="1:6">
      <c r="A94" t="s">
        <v>378</v>
      </c>
      <c r="B94" s="33">
        <v>43260</v>
      </c>
      <c r="C94" t="s">
        <v>286</v>
      </c>
      <c r="D94">
        <v>107</v>
      </c>
      <c r="E94">
        <v>59</v>
      </c>
      <c r="F94">
        <v>6313</v>
      </c>
    </row>
    <row r="95" spans="1:6">
      <c r="A95" t="s">
        <v>379</v>
      </c>
      <c r="B95" s="33">
        <v>43261</v>
      </c>
      <c r="C95" t="s">
        <v>282</v>
      </c>
      <c r="D95">
        <v>134</v>
      </c>
      <c r="E95">
        <v>406</v>
      </c>
      <c r="F95">
        <v>54404</v>
      </c>
    </row>
    <row r="96" spans="1:6">
      <c r="A96" t="s">
        <v>380</v>
      </c>
      <c r="B96" s="33">
        <v>43261</v>
      </c>
      <c r="C96" t="s">
        <v>286</v>
      </c>
      <c r="D96">
        <v>283</v>
      </c>
      <c r="E96">
        <v>340</v>
      </c>
      <c r="F96">
        <v>96220</v>
      </c>
    </row>
    <row r="97" spans="1:6">
      <c r="A97" t="s">
        <v>381</v>
      </c>
      <c r="B97" s="33">
        <v>43261</v>
      </c>
      <c r="C97" t="s">
        <v>286</v>
      </c>
      <c r="D97">
        <v>102</v>
      </c>
      <c r="E97">
        <v>41</v>
      </c>
      <c r="F97">
        <v>4182</v>
      </c>
    </row>
    <row r="98" spans="1:6">
      <c r="A98" t="s">
        <v>382</v>
      </c>
      <c r="B98" s="33">
        <v>43261</v>
      </c>
      <c r="C98" t="s">
        <v>282</v>
      </c>
      <c r="D98">
        <v>109</v>
      </c>
      <c r="E98">
        <v>37</v>
      </c>
      <c r="F98">
        <v>4033</v>
      </c>
    </row>
    <row r="99" spans="1:6">
      <c r="A99" t="s">
        <v>383</v>
      </c>
      <c r="B99" s="33">
        <v>43261</v>
      </c>
      <c r="C99" t="s">
        <v>288</v>
      </c>
      <c r="D99">
        <v>242</v>
      </c>
      <c r="E99">
        <v>243</v>
      </c>
      <c r="F99">
        <v>58806</v>
      </c>
    </row>
    <row r="100" spans="1:6">
      <c r="A100" t="s">
        <v>384</v>
      </c>
      <c r="B100" s="33">
        <v>43261</v>
      </c>
      <c r="C100" t="s">
        <v>284</v>
      </c>
      <c r="D100">
        <v>146</v>
      </c>
      <c r="E100">
        <v>166</v>
      </c>
      <c r="F100">
        <v>24236</v>
      </c>
    </row>
    <row r="101" spans="1:6">
      <c r="A101" t="s">
        <v>385</v>
      </c>
      <c r="B101" s="33">
        <v>43261</v>
      </c>
      <c r="C101" t="s">
        <v>282</v>
      </c>
      <c r="D101">
        <v>160</v>
      </c>
      <c r="E101">
        <v>71</v>
      </c>
      <c r="F101">
        <v>11360</v>
      </c>
    </row>
    <row r="102" spans="1:6">
      <c r="A102" t="s">
        <v>386</v>
      </c>
      <c r="B102" s="33">
        <v>43261</v>
      </c>
      <c r="C102" t="s">
        <v>288</v>
      </c>
      <c r="D102">
        <v>140</v>
      </c>
      <c r="E102">
        <v>168</v>
      </c>
      <c r="F102">
        <v>23520</v>
      </c>
    </row>
    <row r="103" spans="1:6">
      <c r="A103" t="s">
        <v>387</v>
      </c>
      <c r="B103" s="33">
        <v>43261</v>
      </c>
      <c r="C103" t="s">
        <v>288</v>
      </c>
      <c r="D103">
        <v>274</v>
      </c>
      <c r="E103">
        <v>340</v>
      </c>
      <c r="F103">
        <v>93160</v>
      </c>
    </row>
    <row r="104" spans="1:6">
      <c r="A104" t="s">
        <v>388</v>
      </c>
      <c r="B104" s="33">
        <v>43261</v>
      </c>
      <c r="C104" t="s">
        <v>290</v>
      </c>
      <c r="D104">
        <v>154</v>
      </c>
      <c r="E104">
        <v>419</v>
      </c>
      <c r="F104">
        <v>64526</v>
      </c>
    </row>
    <row r="105" spans="1:6">
      <c r="A105" t="s">
        <v>389</v>
      </c>
      <c r="B105" s="33">
        <v>43261</v>
      </c>
      <c r="C105" t="s">
        <v>288</v>
      </c>
      <c r="D105">
        <v>74</v>
      </c>
      <c r="E105">
        <v>437</v>
      </c>
      <c r="F105">
        <v>32338</v>
      </c>
    </row>
    <row r="106" spans="1:6">
      <c r="A106" t="s">
        <v>390</v>
      </c>
      <c r="B106" s="33">
        <v>43261</v>
      </c>
      <c r="C106" t="s">
        <v>284</v>
      </c>
      <c r="D106">
        <v>251</v>
      </c>
      <c r="E106">
        <v>16</v>
      </c>
      <c r="F106">
        <v>4016</v>
      </c>
    </row>
    <row r="107" spans="1:6">
      <c r="A107" t="s">
        <v>391</v>
      </c>
      <c r="B107" s="33">
        <v>43261</v>
      </c>
      <c r="C107" t="s">
        <v>286</v>
      </c>
      <c r="D107">
        <v>252</v>
      </c>
      <c r="E107">
        <v>99</v>
      </c>
      <c r="F107">
        <v>24948</v>
      </c>
    </row>
    <row r="108" spans="1:6">
      <c r="A108" t="s">
        <v>392</v>
      </c>
      <c r="B108" s="33">
        <v>43261</v>
      </c>
      <c r="C108" t="s">
        <v>288</v>
      </c>
      <c r="D108">
        <v>92</v>
      </c>
      <c r="E108">
        <v>385</v>
      </c>
      <c r="F108">
        <v>35420</v>
      </c>
    </row>
    <row r="109" spans="1:6">
      <c r="A109" t="s">
        <v>393</v>
      </c>
      <c r="B109" s="33">
        <v>43261</v>
      </c>
      <c r="C109" t="s">
        <v>284</v>
      </c>
      <c r="D109">
        <v>79</v>
      </c>
      <c r="E109">
        <v>482</v>
      </c>
      <c r="F109">
        <v>38078</v>
      </c>
    </row>
    <row r="110" spans="1:6">
      <c r="A110" t="s">
        <v>394</v>
      </c>
      <c r="B110" s="33">
        <v>43261</v>
      </c>
      <c r="C110" t="s">
        <v>282</v>
      </c>
      <c r="D110">
        <v>256</v>
      </c>
      <c r="E110">
        <v>254</v>
      </c>
      <c r="F110">
        <v>65024</v>
      </c>
    </row>
    <row r="111" spans="1:6">
      <c r="A111" t="s">
        <v>395</v>
      </c>
      <c r="B111" s="33">
        <v>43261</v>
      </c>
      <c r="C111" t="s">
        <v>284</v>
      </c>
      <c r="D111">
        <v>122</v>
      </c>
      <c r="E111">
        <v>262</v>
      </c>
      <c r="F111">
        <v>31964</v>
      </c>
    </row>
    <row r="112" spans="1:6">
      <c r="A112" t="s">
        <v>396</v>
      </c>
      <c r="B112" s="33">
        <v>43261</v>
      </c>
      <c r="C112" t="s">
        <v>286</v>
      </c>
      <c r="D112">
        <v>128</v>
      </c>
      <c r="E112">
        <v>368</v>
      </c>
      <c r="F112">
        <v>47104</v>
      </c>
    </row>
    <row r="113" spans="1:6">
      <c r="A113" t="s">
        <v>397</v>
      </c>
      <c r="B113" s="33">
        <v>43261</v>
      </c>
      <c r="C113" t="s">
        <v>282</v>
      </c>
      <c r="D113">
        <v>196</v>
      </c>
      <c r="E113">
        <v>379</v>
      </c>
      <c r="F113">
        <v>74284</v>
      </c>
    </row>
    <row r="114" spans="1:6">
      <c r="A114" t="s">
        <v>398</v>
      </c>
      <c r="B114" s="33">
        <v>43262</v>
      </c>
      <c r="C114" t="s">
        <v>282</v>
      </c>
      <c r="D114">
        <v>16</v>
      </c>
      <c r="E114">
        <v>346</v>
      </c>
      <c r="F114">
        <v>5536</v>
      </c>
    </row>
    <row r="115" spans="1:6">
      <c r="A115" t="s">
        <v>399</v>
      </c>
      <c r="B115" s="33">
        <v>43262</v>
      </c>
      <c r="C115" t="s">
        <v>282</v>
      </c>
      <c r="D115">
        <v>220</v>
      </c>
      <c r="E115">
        <v>285</v>
      </c>
      <c r="F115">
        <v>62700</v>
      </c>
    </row>
    <row r="116" spans="1:6">
      <c r="A116" t="s">
        <v>400</v>
      </c>
      <c r="B116" s="33">
        <v>43262</v>
      </c>
      <c r="C116" t="s">
        <v>290</v>
      </c>
      <c r="D116">
        <v>29</v>
      </c>
      <c r="E116">
        <v>111</v>
      </c>
      <c r="F116">
        <v>3219</v>
      </c>
    </row>
    <row r="117" spans="1:6">
      <c r="A117" t="s">
        <v>401</v>
      </c>
      <c r="B117" s="33">
        <v>43262</v>
      </c>
      <c r="C117" t="s">
        <v>282</v>
      </c>
      <c r="D117">
        <v>143</v>
      </c>
      <c r="E117">
        <v>92</v>
      </c>
      <c r="F117">
        <v>13156</v>
      </c>
    </row>
    <row r="118" spans="1:6">
      <c r="A118" t="s">
        <v>402</v>
      </c>
      <c r="B118" s="33">
        <v>43262</v>
      </c>
      <c r="C118" t="s">
        <v>286</v>
      </c>
      <c r="D118">
        <v>269</v>
      </c>
      <c r="E118">
        <v>63</v>
      </c>
      <c r="F118">
        <v>16947</v>
      </c>
    </row>
    <row r="119" spans="1:6">
      <c r="A119" t="s">
        <v>403</v>
      </c>
      <c r="B119" s="33">
        <v>43262</v>
      </c>
      <c r="C119" t="s">
        <v>290</v>
      </c>
      <c r="D119">
        <v>58</v>
      </c>
      <c r="E119">
        <v>498</v>
      </c>
      <c r="F119">
        <v>28884</v>
      </c>
    </row>
    <row r="120" spans="1:6">
      <c r="A120" t="s">
        <v>404</v>
      </c>
      <c r="B120" s="33">
        <v>43262</v>
      </c>
      <c r="C120" t="s">
        <v>284</v>
      </c>
      <c r="D120">
        <v>247</v>
      </c>
      <c r="E120">
        <v>372</v>
      </c>
      <c r="F120">
        <v>91884</v>
      </c>
    </row>
    <row r="121" spans="1:6">
      <c r="A121" t="s">
        <v>405</v>
      </c>
      <c r="B121" s="33">
        <v>43263</v>
      </c>
      <c r="C121" t="s">
        <v>286</v>
      </c>
      <c r="D121">
        <v>203</v>
      </c>
      <c r="E121">
        <v>293</v>
      </c>
      <c r="F121">
        <v>59479</v>
      </c>
    </row>
    <row r="122" spans="1:6">
      <c r="A122" t="s">
        <v>406</v>
      </c>
      <c r="B122" s="33">
        <v>43263</v>
      </c>
      <c r="C122" t="s">
        <v>284</v>
      </c>
      <c r="D122">
        <v>144</v>
      </c>
      <c r="E122">
        <v>168</v>
      </c>
      <c r="F122">
        <v>24192</v>
      </c>
    </row>
    <row r="123" spans="1:6">
      <c r="A123" t="s">
        <v>407</v>
      </c>
      <c r="B123" s="33">
        <v>43263</v>
      </c>
      <c r="C123" t="s">
        <v>282</v>
      </c>
      <c r="D123">
        <v>66</v>
      </c>
      <c r="E123">
        <v>221</v>
      </c>
      <c r="F123">
        <v>14586</v>
      </c>
    </row>
    <row r="124" spans="1:6">
      <c r="A124" t="s">
        <v>408</v>
      </c>
      <c r="B124" s="33">
        <v>43263</v>
      </c>
      <c r="C124" t="s">
        <v>286</v>
      </c>
      <c r="D124">
        <v>246</v>
      </c>
      <c r="E124">
        <v>50</v>
      </c>
      <c r="F124">
        <v>12300</v>
      </c>
    </row>
    <row r="125" spans="1:6">
      <c r="A125" t="s">
        <v>409</v>
      </c>
      <c r="B125" s="33">
        <v>43263</v>
      </c>
      <c r="C125" t="s">
        <v>290</v>
      </c>
      <c r="D125">
        <v>110</v>
      </c>
      <c r="E125">
        <v>460</v>
      </c>
      <c r="F125">
        <v>50600</v>
      </c>
    </row>
    <row r="126" spans="1:6">
      <c r="A126" t="s">
        <v>410</v>
      </c>
      <c r="B126" s="33">
        <v>43263</v>
      </c>
      <c r="C126" t="s">
        <v>282</v>
      </c>
      <c r="D126">
        <v>157</v>
      </c>
      <c r="E126">
        <v>222</v>
      </c>
      <c r="F126">
        <v>34854</v>
      </c>
    </row>
    <row r="127" spans="1:6">
      <c r="A127" t="s">
        <v>411</v>
      </c>
      <c r="B127" s="33">
        <v>43263</v>
      </c>
      <c r="C127" t="s">
        <v>286</v>
      </c>
      <c r="D127">
        <v>262</v>
      </c>
      <c r="E127">
        <v>174</v>
      </c>
      <c r="F127">
        <v>45588</v>
      </c>
    </row>
    <row r="128" spans="1:6">
      <c r="A128" t="s">
        <v>412</v>
      </c>
      <c r="B128" s="33">
        <v>43264</v>
      </c>
      <c r="C128" t="s">
        <v>288</v>
      </c>
      <c r="D128">
        <v>65</v>
      </c>
      <c r="E128">
        <v>434</v>
      </c>
      <c r="F128">
        <v>28210</v>
      </c>
    </row>
    <row r="129" spans="1:6">
      <c r="A129" t="s">
        <v>413</v>
      </c>
      <c r="B129" s="33">
        <v>43264</v>
      </c>
      <c r="C129" t="s">
        <v>288</v>
      </c>
      <c r="D129">
        <v>11</v>
      </c>
      <c r="E129">
        <v>406</v>
      </c>
      <c r="F129">
        <v>4466</v>
      </c>
    </row>
    <row r="130" spans="1:6">
      <c r="A130" t="s">
        <v>414</v>
      </c>
      <c r="B130" s="33">
        <v>43264</v>
      </c>
      <c r="C130" t="s">
        <v>288</v>
      </c>
      <c r="D130">
        <v>17</v>
      </c>
      <c r="E130">
        <v>386</v>
      </c>
      <c r="F130">
        <v>6562</v>
      </c>
    </row>
    <row r="131" spans="1:6">
      <c r="A131" t="s">
        <v>415</v>
      </c>
      <c r="B131" s="33">
        <v>43264</v>
      </c>
      <c r="C131" t="s">
        <v>284</v>
      </c>
      <c r="D131">
        <v>101</v>
      </c>
      <c r="E131">
        <v>346</v>
      </c>
      <c r="F131">
        <v>34946</v>
      </c>
    </row>
    <row r="132" spans="1:6">
      <c r="A132" t="s">
        <v>416</v>
      </c>
      <c r="B132" s="33">
        <v>43264</v>
      </c>
      <c r="C132" t="s">
        <v>282</v>
      </c>
      <c r="D132">
        <v>158</v>
      </c>
      <c r="E132">
        <v>437</v>
      </c>
      <c r="F132">
        <v>69046</v>
      </c>
    </row>
    <row r="133" spans="1:6">
      <c r="A133" t="s">
        <v>417</v>
      </c>
      <c r="B133" s="33">
        <v>43264</v>
      </c>
      <c r="C133" t="s">
        <v>284</v>
      </c>
      <c r="D133">
        <v>96</v>
      </c>
      <c r="E133">
        <v>473</v>
      </c>
      <c r="F133">
        <v>45408</v>
      </c>
    </row>
    <row r="134" spans="1:6">
      <c r="A134" t="s">
        <v>418</v>
      </c>
      <c r="B134" s="33">
        <v>43264</v>
      </c>
      <c r="C134" t="s">
        <v>288</v>
      </c>
      <c r="D134">
        <v>260</v>
      </c>
      <c r="E134">
        <v>423</v>
      </c>
      <c r="F134">
        <v>109980</v>
      </c>
    </row>
    <row r="135" spans="1:6">
      <c r="A135" t="s">
        <v>419</v>
      </c>
      <c r="B135" s="33">
        <v>43264</v>
      </c>
      <c r="C135" t="s">
        <v>286</v>
      </c>
      <c r="D135">
        <v>187</v>
      </c>
      <c r="E135">
        <v>15</v>
      </c>
      <c r="F135">
        <v>2805</v>
      </c>
    </row>
    <row r="136" spans="1:6">
      <c r="A136" t="s">
        <v>420</v>
      </c>
      <c r="B136" s="33">
        <v>43264</v>
      </c>
      <c r="C136" t="s">
        <v>282</v>
      </c>
      <c r="D136">
        <v>209</v>
      </c>
      <c r="E136">
        <v>74</v>
      </c>
      <c r="F136">
        <v>15466</v>
      </c>
    </row>
    <row r="137" spans="1:6">
      <c r="A137" t="s">
        <v>421</v>
      </c>
      <c r="B137" s="33">
        <v>43264</v>
      </c>
      <c r="C137" t="s">
        <v>290</v>
      </c>
      <c r="D137">
        <v>284</v>
      </c>
      <c r="E137">
        <v>75</v>
      </c>
      <c r="F137">
        <v>21300</v>
      </c>
    </row>
    <row r="138" spans="1:6">
      <c r="A138" t="s">
        <v>422</v>
      </c>
      <c r="B138" s="33">
        <v>43265</v>
      </c>
      <c r="C138" t="s">
        <v>286</v>
      </c>
      <c r="D138">
        <v>215</v>
      </c>
      <c r="E138">
        <v>54</v>
      </c>
      <c r="F138">
        <v>11610</v>
      </c>
    </row>
    <row r="139" spans="1:6">
      <c r="A139" t="s">
        <v>423</v>
      </c>
      <c r="B139" s="33">
        <v>43265</v>
      </c>
      <c r="C139" t="s">
        <v>286</v>
      </c>
      <c r="D139">
        <v>279</v>
      </c>
      <c r="E139">
        <v>352</v>
      </c>
      <c r="F139">
        <v>98208</v>
      </c>
    </row>
    <row r="140" spans="1:6">
      <c r="A140" t="s">
        <v>424</v>
      </c>
      <c r="B140" s="33">
        <v>43265</v>
      </c>
      <c r="C140" t="s">
        <v>288</v>
      </c>
      <c r="D140">
        <v>175</v>
      </c>
      <c r="E140">
        <v>249</v>
      </c>
      <c r="F140">
        <v>43575</v>
      </c>
    </row>
    <row r="141" spans="1:6">
      <c r="A141" t="s">
        <v>425</v>
      </c>
      <c r="B141" s="33">
        <v>43265</v>
      </c>
      <c r="C141" t="s">
        <v>284</v>
      </c>
      <c r="D141">
        <v>172</v>
      </c>
      <c r="E141">
        <v>59</v>
      </c>
      <c r="F141">
        <v>10148</v>
      </c>
    </row>
    <row r="142" spans="1:6">
      <c r="A142" t="s">
        <v>426</v>
      </c>
      <c r="B142" s="33">
        <v>43265</v>
      </c>
      <c r="C142" t="s">
        <v>288</v>
      </c>
      <c r="D142">
        <v>296</v>
      </c>
      <c r="E142">
        <v>242</v>
      </c>
      <c r="F142">
        <v>71632</v>
      </c>
    </row>
    <row r="143" spans="1:6">
      <c r="A143" t="s">
        <v>427</v>
      </c>
      <c r="B143" s="33">
        <v>43265</v>
      </c>
      <c r="C143" t="s">
        <v>290</v>
      </c>
      <c r="D143">
        <v>60</v>
      </c>
      <c r="E143">
        <v>89</v>
      </c>
      <c r="F143">
        <v>5340</v>
      </c>
    </row>
    <row r="144" spans="1:6">
      <c r="A144" t="s">
        <v>428</v>
      </c>
      <c r="B144" s="33">
        <v>43265</v>
      </c>
      <c r="C144" t="s">
        <v>290</v>
      </c>
      <c r="D144">
        <v>162</v>
      </c>
      <c r="E144">
        <v>401</v>
      </c>
      <c r="F144">
        <v>64962</v>
      </c>
    </row>
    <row r="145" spans="1:6">
      <c r="A145" t="s">
        <v>429</v>
      </c>
      <c r="B145" s="33">
        <v>43265</v>
      </c>
      <c r="C145" t="s">
        <v>282</v>
      </c>
      <c r="D145">
        <v>40</v>
      </c>
      <c r="E145">
        <v>14</v>
      </c>
      <c r="F145">
        <v>560</v>
      </c>
    </row>
    <row r="146" spans="1:6">
      <c r="A146" t="s">
        <v>430</v>
      </c>
      <c r="B146" s="33">
        <v>43265</v>
      </c>
      <c r="C146" t="s">
        <v>288</v>
      </c>
      <c r="D146">
        <v>228</v>
      </c>
      <c r="E146">
        <v>338</v>
      </c>
      <c r="F146">
        <v>77064</v>
      </c>
    </row>
    <row r="147" spans="1:6">
      <c r="A147" t="s">
        <v>431</v>
      </c>
      <c r="B147" s="33">
        <v>43265</v>
      </c>
      <c r="C147" t="s">
        <v>286</v>
      </c>
      <c r="D147">
        <v>61</v>
      </c>
      <c r="E147">
        <v>29</v>
      </c>
      <c r="F147">
        <v>1769</v>
      </c>
    </row>
    <row r="148" spans="1:6">
      <c r="A148" t="s">
        <v>432</v>
      </c>
      <c r="B148" s="33">
        <v>43265</v>
      </c>
      <c r="C148" t="s">
        <v>282</v>
      </c>
      <c r="D148">
        <v>208</v>
      </c>
      <c r="E148">
        <v>4</v>
      </c>
      <c r="F148">
        <v>832</v>
      </c>
    </row>
    <row r="149" spans="1:6">
      <c r="A149" t="s">
        <v>433</v>
      </c>
      <c r="B149" s="33">
        <v>43266</v>
      </c>
      <c r="C149" t="s">
        <v>282</v>
      </c>
      <c r="D149">
        <v>50</v>
      </c>
      <c r="E149">
        <v>368</v>
      </c>
      <c r="F149">
        <v>18400</v>
      </c>
    </row>
    <row r="150" spans="1:6">
      <c r="A150" t="s">
        <v>434</v>
      </c>
      <c r="B150" s="33">
        <v>43266</v>
      </c>
      <c r="C150" t="s">
        <v>284</v>
      </c>
      <c r="D150">
        <v>241</v>
      </c>
      <c r="E150">
        <v>317</v>
      </c>
      <c r="F150">
        <v>76397</v>
      </c>
    </row>
    <row r="151" spans="1:6">
      <c r="A151" t="s">
        <v>435</v>
      </c>
      <c r="B151" s="33">
        <v>43266</v>
      </c>
      <c r="C151" t="s">
        <v>288</v>
      </c>
      <c r="D151">
        <v>300</v>
      </c>
      <c r="E151">
        <v>151</v>
      </c>
      <c r="F151">
        <v>45300</v>
      </c>
    </row>
    <row r="152" spans="1:6">
      <c r="A152" t="s">
        <v>436</v>
      </c>
      <c r="B152" s="33">
        <v>43266</v>
      </c>
      <c r="C152" t="s">
        <v>288</v>
      </c>
      <c r="D152">
        <v>51</v>
      </c>
      <c r="E152">
        <v>202</v>
      </c>
      <c r="F152">
        <v>10302</v>
      </c>
    </row>
    <row r="153" spans="1:6">
      <c r="A153" t="s">
        <v>437</v>
      </c>
      <c r="B153" s="33">
        <v>43266</v>
      </c>
      <c r="C153" t="s">
        <v>284</v>
      </c>
      <c r="D153">
        <v>83</v>
      </c>
      <c r="E153">
        <v>489</v>
      </c>
      <c r="F153">
        <v>40587</v>
      </c>
    </row>
    <row r="154" spans="1:6">
      <c r="A154" t="s">
        <v>438</v>
      </c>
      <c r="B154" s="33">
        <v>43266</v>
      </c>
      <c r="C154" t="s">
        <v>284</v>
      </c>
      <c r="D154">
        <v>156</v>
      </c>
      <c r="E154">
        <v>205</v>
      </c>
      <c r="F154">
        <v>31980</v>
      </c>
    </row>
    <row r="155" spans="1:6">
      <c r="A155" t="s">
        <v>439</v>
      </c>
      <c r="B155" s="33">
        <v>43266</v>
      </c>
      <c r="C155" t="s">
        <v>290</v>
      </c>
      <c r="D155">
        <v>126</v>
      </c>
      <c r="E155">
        <v>295</v>
      </c>
      <c r="F155">
        <v>37170</v>
      </c>
    </row>
    <row r="156" spans="1:6">
      <c r="A156" t="s">
        <v>440</v>
      </c>
      <c r="B156" s="33">
        <v>43266</v>
      </c>
      <c r="C156" t="s">
        <v>282</v>
      </c>
      <c r="D156">
        <v>267</v>
      </c>
      <c r="E156">
        <v>87</v>
      </c>
      <c r="F156">
        <v>23229</v>
      </c>
    </row>
    <row r="157" spans="1:6">
      <c r="A157" t="s">
        <v>441</v>
      </c>
      <c r="B157" s="33">
        <v>43266</v>
      </c>
      <c r="C157" t="s">
        <v>286</v>
      </c>
      <c r="D157">
        <v>130</v>
      </c>
      <c r="E157">
        <v>460</v>
      </c>
      <c r="F157">
        <v>59800</v>
      </c>
    </row>
    <row r="158" spans="1:6">
      <c r="A158" t="s">
        <v>442</v>
      </c>
      <c r="B158" s="33">
        <v>43266</v>
      </c>
      <c r="C158" t="s">
        <v>290</v>
      </c>
      <c r="D158">
        <v>240</v>
      </c>
      <c r="E158">
        <v>255</v>
      </c>
      <c r="F158">
        <v>61200</v>
      </c>
    </row>
    <row r="159" spans="1:6">
      <c r="A159" t="s">
        <v>443</v>
      </c>
      <c r="B159" s="33">
        <v>43266</v>
      </c>
      <c r="C159" t="s">
        <v>284</v>
      </c>
      <c r="D159">
        <v>30</v>
      </c>
      <c r="E159">
        <v>297</v>
      </c>
      <c r="F159">
        <v>8910</v>
      </c>
    </row>
    <row r="160" spans="1:6">
      <c r="A160" t="s">
        <v>444</v>
      </c>
      <c r="B160" s="33">
        <v>43266</v>
      </c>
      <c r="C160" t="s">
        <v>284</v>
      </c>
      <c r="D160">
        <v>146</v>
      </c>
      <c r="E160">
        <v>13</v>
      </c>
      <c r="F160">
        <v>1898</v>
      </c>
    </row>
    <row r="161" spans="1:6">
      <c r="A161" t="s">
        <v>445</v>
      </c>
      <c r="B161" s="33">
        <v>43266</v>
      </c>
      <c r="C161" t="s">
        <v>290</v>
      </c>
      <c r="D161">
        <v>263</v>
      </c>
      <c r="E161">
        <v>83</v>
      </c>
      <c r="F161">
        <v>21829</v>
      </c>
    </row>
    <row r="162" spans="1:6">
      <c r="A162" t="s">
        <v>446</v>
      </c>
      <c r="B162" s="33">
        <v>43266</v>
      </c>
      <c r="C162" t="s">
        <v>282</v>
      </c>
      <c r="D162">
        <v>12</v>
      </c>
      <c r="E162">
        <v>400</v>
      </c>
      <c r="F162">
        <v>4800</v>
      </c>
    </row>
    <row r="163" spans="1:6">
      <c r="A163" t="s">
        <v>447</v>
      </c>
      <c r="B163" s="33">
        <v>43266</v>
      </c>
      <c r="C163" t="s">
        <v>282</v>
      </c>
      <c r="D163">
        <v>41</v>
      </c>
      <c r="E163">
        <v>493</v>
      </c>
      <c r="F163">
        <v>20213</v>
      </c>
    </row>
    <row r="164" spans="1:6">
      <c r="A164" t="s">
        <v>448</v>
      </c>
      <c r="B164" s="33">
        <v>43267</v>
      </c>
      <c r="C164" t="s">
        <v>288</v>
      </c>
      <c r="D164">
        <v>18</v>
      </c>
      <c r="E164">
        <v>472</v>
      </c>
      <c r="F164">
        <v>8496</v>
      </c>
    </row>
    <row r="165" spans="1:6">
      <c r="A165" t="s">
        <v>449</v>
      </c>
      <c r="B165" s="33">
        <v>43267</v>
      </c>
      <c r="C165" t="s">
        <v>286</v>
      </c>
      <c r="D165">
        <v>206</v>
      </c>
      <c r="E165">
        <v>85</v>
      </c>
      <c r="F165">
        <v>17510</v>
      </c>
    </row>
    <row r="166" spans="1:6">
      <c r="A166" t="s">
        <v>450</v>
      </c>
      <c r="B166" s="33">
        <v>43267</v>
      </c>
      <c r="C166" t="s">
        <v>286</v>
      </c>
      <c r="D166">
        <v>165</v>
      </c>
      <c r="E166">
        <v>13</v>
      </c>
      <c r="F166">
        <v>2145</v>
      </c>
    </row>
    <row r="167" spans="1:6">
      <c r="A167" t="s">
        <v>451</v>
      </c>
      <c r="B167" s="33">
        <v>43267</v>
      </c>
      <c r="C167" t="s">
        <v>282</v>
      </c>
      <c r="D167">
        <v>215</v>
      </c>
      <c r="E167">
        <v>53</v>
      </c>
      <c r="F167">
        <v>11395</v>
      </c>
    </row>
    <row r="168" spans="1:6">
      <c r="A168" t="s">
        <v>452</v>
      </c>
      <c r="B168" s="33">
        <v>43267</v>
      </c>
      <c r="C168" t="s">
        <v>288</v>
      </c>
      <c r="D168">
        <v>158</v>
      </c>
      <c r="E168">
        <v>198</v>
      </c>
      <c r="F168">
        <v>31284</v>
      </c>
    </row>
    <row r="169" spans="1:6">
      <c r="A169" t="s">
        <v>453</v>
      </c>
      <c r="B169" s="33">
        <v>43267</v>
      </c>
      <c r="C169" t="s">
        <v>284</v>
      </c>
      <c r="D169">
        <v>269</v>
      </c>
      <c r="E169">
        <v>386</v>
      </c>
      <c r="F169">
        <v>103834</v>
      </c>
    </row>
    <row r="170" spans="1:6">
      <c r="A170" t="s">
        <v>454</v>
      </c>
      <c r="B170" s="33">
        <v>43267</v>
      </c>
      <c r="C170" t="s">
        <v>286</v>
      </c>
      <c r="D170">
        <v>116</v>
      </c>
      <c r="E170">
        <v>224</v>
      </c>
      <c r="F170">
        <v>25984</v>
      </c>
    </row>
    <row r="171" spans="1:6">
      <c r="A171" t="s">
        <v>455</v>
      </c>
      <c r="B171" s="33">
        <v>43267</v>
      </c>
      <c r="C171" t="s">
        <v>282</v>
      </c>
      <c r="D171">
        <v>129</v>
      </c>
      <c r="E171">
        <v>34</v>
      </c>
      <c r="F171">
        <v>4386</v>
      </c>
    </row>
    <row r="172" spans="1:6">
      <c r="A172" t="s">
        <v>456</v>
      </c>
      <c r="B172" s="33">
        <v>43267</v>
      </c>
      <c r="C172" t="s">
        <v>286</v>
      </c>
      <c r="D172">
        <v>63</v>
      </c>
      <c r="E172">
        <v>498</v>
      </c>
      <c r="F172">
        <v>31374</v>
      </c>
    </row>
    <row r="173" spans="1:6">
      <c r="A173" t="s">
        <v>457</v>
      </c>
      <c r="B173" s="33">
        <v>43267</v>
      </c>
      <c r="C173" t="s">
        <v>282</v>
      </c>
      <c r="D173">
        <v>136</v>
      </c>
      <c r="E173">
        <v>431</v>
      </c>
      <c r="F173">
        <v>58616</v>
      </c>
    </row>
    <row r="174" spans="1:6">
      <c r="A174" t="s">
        <v>458</v>
      </c>
      <c r="B174" s="33">
        <v>43267</v>
      </c>
      <c r="C174" t="s">
        <v>288</v>
      </c>
      <c r="D174">
        <v>15</v>
      </c>
      <c r="E174">
        <v>57</v>
      </c>
      <c r="F174">
        <v>855</v>
      </c>
    </row>
    <row r="175" spans="1:6">
      <c r="A175" t="s">
        <v>459</v>
      </c>
      <c r="B175" s="33">
        <v>43268</v>
      </c>
      <c r="C175" t="s">
        <v>290</v>
      </c>
      <c r="D175">
        <v>11</v>
      </c>
      <c r="E175">
        <v>66</v>
      </c>
      <c r="F175">
        <v>726</v>
      </c>
    </row>
    <row r="176" spans="1:6">
      <c r="A176" t="s">
        <v>460</v>
      </c>
      <c r="B176" s="33">
        <v>43268</v>
      </c>
      <c r="C176" t="s">
        <v>286</v>
      </c>
      <c r="D176">
        <v>227</v>
      </c>
      <c r="E176">
        <v>267</v>
      </c>
      <c r="F176">
        <v>60609</v>
      </c>
    </row>
    <row r="177" spans="1:6">
      <c r="A177" t="s">
        <v>461</v>
      </c>
      <c r="B177" s="33">
        <v>43268</v>
      </c>
      <c r="C177" t="s">
        <v>288</v>
      </c>
      <c r="D177">
        <v>25</v>
      </c>
      <c r="E177">
        <v>55</v>
      </c>
      <c r="F177">
        <v>1375</v>
      </c>
    </row>
    <row r="178" spans="1:6">
      <c r="A178" t="s">
        <v>462</v>
      </c>
      <c r="B178" s="33">
        <v>43268</v>
      </c>
      <c r="C178" t="s">
        <v>282</v>
      </c>
      <c r="D178">
        <v>233</v>
      </c>
      <c r="E178">
        <v>18</v>
      </c>
      <c r="F178">
        <v>4194</v>
      </c>
    </row>
    <row r="179" spans="1:6">
      <c r="A179" t="s">
        <v>463</v>
      </c>
      <c r="B179" s="33">
        <v>43268</v>
      </c>
      <c r="C179" t="s">
        <v>282</v>
      </c>
      <c r="D179">
        <v>282</v>
      </c>
      <c r="E179">
        <v>265</v>
      </c>
      <c r="F179">
        <v>74730</v>
      </c>
    </row>
    <row r="180" spans="1:6">
      <c r="A180" t="s">
        <v>464</v>
      </c>
      <c r="B180" s="33">
        <v>43268</v>
      </c>
      <c r="C180" t="s">
        <v>282</v>
      </c>
      <c r="D180">
        <v>106</v>
      </c>
      <c r="E180">
        <v>153</v>
      </c>
      <c r="F180">
        <v>16218</v>
      </c>
    </row>
    <row r="181" spans="1:6">
      <c r="A181" t="s">
        <v>465</v>
      </c>
      <c r="B181" s="33">
        <v>43268</v>
      </c>
      <c r="C181" t="s">
        <v>290</v>
      </c>
      <c r="D181">
        <v>261</v>
      </c>
      <c r="E181">
        <v>329</v>
      </c>
      <c r="F181">
        <v>85869</v>
      </c>
    </row>
    <row r="182" spans="1:6">
      <c r="A182" t="s">
        <v>466</v>
      </c>
      <c r="B182" s="33">
        <v>43268</v>
      </c>
      <c r="C182" t="s">
        <v>290</v>
      </c>
      <c r="D182">
        <v>68</v>
      </c>
      <c r="E182">
        <v>246</v>
      </c>
      <c r="F182">
        <v>16728</v>
      </c>
    </row>
    <row r="183" spans="1:6">
      <c r="A183" t="s">
        <v>467</v>
      </c>
      <c r="B183" s="33">
        <v>43268</v>
      </c>
      <c r="C183" t="s">
        <v>284</v>
      </c>
      <c r="D183">
        <v>153</v>
      </c>
      <c r="E183">
        <v>392</v>
      </c>
      <c r="F183">
        <v>59976</v>
      </c>
    </row>
    <row r="184" spans="1:6">
      <c r="A184" t="s">
        <v>468</v>
      </c>
      <c r="B184" s="33">
        <v>43268</v>
      </c>
      <c r="C184" t="s">
        <v>286</v>
      </c>
      <c r="D184">
        <v>28</v>
      </c>
      <c r="E184">
        <v>13</v>
      </c>
      <c r="F184">
        <v>364</v>
      </c>
    </row>
    <row r="185" spans="1:6">
      <c r="A185" t="s">
        <v>469</v>
      </c>
      <c r="B185" s="33">
        <v>43268</v>
      </c>
      <c r="C185" t="s">
        <v>282</v>
      </c>
      <c r="D185">
        <v>238</v>
      </c>
      <c r="E185">
        <v>54</v>
      </c>
      <c r="F185">
        <v>12852</v>
      </c>
    </row>
    <row r="186" spans="1:6">
      <c r="A186" t="s">
        <v>470</v>
      </c>
      <c r="B186" s="33">
        <v>43268</v>
      </c>
      <c r="C186" t="s">
        <v>282</v>
      </c>
      <c r="D186">
        <v>147</v>
      </c>
      <c r="E186">
        <v>267</v>
      </c>
      <c r="F186">
        <v>39249</v>
      </c>
    </row>
    <row r="187" spans="1:6">
      <c r="A187" t="s">
        <v>471</v>
      </c>
      <c r="B187" s="33">
        <v>43268</v>
      </c>
      <c r="C187" t="s">
        <v>288</v>
      </c>
      <c r="D187">
        <v>99</v>
      </c>
      <c r="E187">
        <v>437</v>
      </c>
      <c r="F187">
        <v>43263</v>
      </c>
    </row>
    <row r="188" spans="1:6">
      <c r="A188" t="s">
        <v>472</v>
      </c>
      <c r="B188" s="33">
        <v>43269</v>
      </c>
      <c r="C188" t="s">
        <v>282</v>
      </c>
      <c r="D188">
        <v>298</v>
      </c>
      <c r="E188">
        <v>367</v>
      </c>
      <c r="F188">
        <v>109366</v>
      </c>
    </row>
    <row r="189" spans="1:6">
      <c r="A189" t="s">
        <v>473</v>
      </c>
      <c r="B189" s="33">
        <v>43269</v>
      </c>
      <c r="C189" t="s">
        <v>282</v>
      </c>
      <c r="D189">
        <v>69</v>
      </c>
      <c r="E189">
        <v>51</v>
      </c>
      <c r="F189">
        <v>3519</v>
      </c>
    </row>
    <row r="190" spans="1:6">
      <c r="A190" t="s">
        <v>474</v>
      </c>
      <c r="B190" s="33">
        <v>43269</v>
      </c>
      <c r="C190" t="s">
        <v>282</v>
      </c>
      <c r="D190">
        <v>93</v>
      </c>
      <c r="E190">
        <v>421</v>
      </c>
      <c r="F190">
        <v>39153</v>
      </c>
    </row>
    <row r="191" spans="1:6">
      <c r="A191" t="s">
        <v>475</v>
      </c>
      <c r="B191" s="33">
        <v>43269</v>
      </c>
      <c r="C191" t="s">
        <v>284</v>
      </c>
      <c r="D191">
        <v>76</v>
      </c>
      <c r="E191">
        <v>35</v>
      </c>
      <c r="F191">
        <v>2660</v>
      </c>
    </row>
    <row r="192" spans="1:6">
      <c r="A192" t="s">
        <v>476</v>
      </c>
      <c r="B192" s="33">
        <v>43269</v>
      </c>
      <c r="C192" t="s">
        <v>286</v>
      </c>
      <c r="D192">
        <v>44</v>
      </c>
      <c r="E192">
        <v>377</v>
      </c>
      <c r="F192">
        <v>16588</v>
      </c>
    </row>
    <row r="193" spans="1:6">
      <c r="A193" t="s">
        <v>477</v>
      </c>
      <c r="B193" s="33">
        <v>43269</v>
      </c>
      <c r="C193" t="s">
        <v>290</v>
      </c>
      <c r="D193">
        <v>165</v>
      </c>
      <c r="E193">
        <v>278</v>
      </c>
      <c r="F193">
        <v>45870</v>
      </c>
    </row>
    <row r="194" spans="1:6">
      <c r="A194" t="s">
        <v>478</v>
      </c>
      <c r="B194" s="33">
        <v>43269</v>
      </c>
      <c r="C194" t="s">
        <v>288</v>
      </c>
      <c r="D194">
        <v>135</v>
      </c>
      <c r="E194">
        <v>33</v>
      </c>
      <c r="F194">
        <v>4455</v>
      </c>
    </row>
    <row r="195" spans="1:6">
      <c r="A195" t="s">
        <v>479</v>
      </c>
      <c r="B195" s="33">
        <v>43269</v>
      </c>
      <c r="C195" t="s">
        <v>284</v>
      </c>
      <c r="D195">
        <v>87</v>
      </c>
      <c r="E195">
        <v>29</v>
      </c>
      <c r="F195">
        <v>2523</v>
      </c>
    </row>
    <row r="196" spans="1:6">
      <c r="A196" t="s">
        <v>480</v>
      </c>
      <c r="B196" s="33">
        <v>43269</v>
      </c>
      <c r="C196" t="s">
        <v>282</v>
      </c>
      <c r="D196">
        <v>93</v>
      </c>
      <c r="E196">
        <v>146</v>
      </c>
      <c r="F196">
        <v>13578</v>
      </c>
    </row>
    <row r="197" spans="1:6">
      <c r="A197" t="s">
        <v>481</v>
      </c>
      <c r="B197" s="33">
        <v>43269</v>
      </c>
      <c r="C197" t="s">
        <v>282</v>
      </c>
      <c r="D197">
        <v>21</v>
      </c>
      <c r="E197">
        <v>58</v>
      </c>
      <c r="F197">
        <v>1218</v>
      </c>
    </row>
    <row r="198" spans="1:6">
      <c r="A198" t="s">
        <v>482</v>
      </c>
      <c r="B198" s="33">
        <v>43270</v>
      </c>
      <c r="C198" t="s">
        <v>284</v>
      </c>
      <c r="D198">
        <v>70</v>
      </c>
      <c r="E198">
        <v>339</v>
      </c>
      <c r="F198">
        <v>23730</v>
      </c>
    </row>
    <row r="199" spans="1:6">
      <c r="A199" t="s">
        <v>483</v>
      </c>
      <c r="B199" s="33">
        <v>43270</v>
      </c>
      <c r="C199" t="s">
        <v>284</v>
      </c>
      <c r="D199">
        <v>271</v>
      </c>
      <c r="E199">
        <v>64</v>
      </c>
      <c r="F199">
        <v>17344</v>
      </c>
    </row>
    <row r="200" spans="1:6">
      <c r="A200" t="s">
        <v>484</v>
      </c>
      <c r="B200" s="33">
        <v>43270</v>
      </c>
      <c r="C200" t="s">
        <v>282</v>
      </c>
      <c r="D200">
        <v>228</v>
      </c>
      <c r="E200">
        <v>162</v>
      </c>
      <c r="F200">
        <v>36936</v>
      </c>
    </row>
    <row r="201" spans="1:6">
      <c r="A201" t="s">
        <v>485</v>
      </c>
      <c r="B201" s="33">
        <v>43270</v>
      </c>
      <c r="C201" t="s">
        <v>286</v>
      </c>
      <c r="D201">
        <v>206</v>
      </c>
      <c r="E201">
        <v>16</v>
      </c>
      <c r="F201">
        <v>3296</v>
      </c>
    </row>
    <row r="202" spans="1:6">
      <c r="A202" t="s">
        <v>486</v>
      </c>
      <c r="B202" s="33">
        <v>43270</v>
      </c>
      <c r="C202" t="s">
        <v>288</v>
      </c>
      <c r="D202">
        <v>241</v>
      </c>
      <c r="E202">
        <v>246</v>
      </c>
      <c r="F202">
        <v>59286</v>
      </c>
    </row>
    <row r="203" spans="1:6">
      <c r="A203" t="s">
        <v>487</v>
      </c>
      <c r="B203" s="33">
        <v>43270</v>
      </c>
      <c r="C203" t="s">
        <v>282</v>
      </c>
      <c r="D203">
        <v>157</v>
      </c>
      <c r="E203">
        <v>155</v>
      </c>
      <c r="F203">
        <v>24335</v>
      </c>
    </row>
    <row r="204" spans="1:6">
      <c r="A204" t="s">
        <v>488</v>
      </c>
      <c r="B204" s="33">
        <v>43270</v>
      </c>
      <c r="C204" t="s">
        <v>286</v>
      </c>
      <c r="D204">
        <v>137</v>
      </c>
      <c r="E204">
        <v>277</v>
      </c>
      <c r="F204">
        <v>37949</v>
      </c>
    </row>
    <row r="205" spans="1:6">
      <c r="A205" t="s">
        <v>489</v>
      </c>
      <c r="B205" s="33">
        <v>43271</v>
      </c>
      <c r="C205" t="s">
        <v>290</v>
      </c>
      <c r="D205">
        <v>222</v>
      </c>
      <c r="E205">
        <v>42</v>
      </c>
      <c r="F205">
        <v>9324</v>
      </c>
    </row>
    <row r="206" spans="1:6">
      <c r="A206" t="s">
        <v>490</v>
      </c>
      <c r="B206" s="33">
        <v>43271</v>
      </c>
      <c r="C206" t="s">
        <v>290</v>
      </c>
      <c r="D206">
        <v>28</v>
      </c>
      <c r="E206">
        <v>119</v>
      </c>
      <c r="F206">
        <v>3332</v>
      </c>
    </row>
    <row r="207" spans="1:6">
      <c r="A207" t="s">
        <v>491</v>
      </c>
      <c r="B207" s="33">
        <v>43271</v>
      </c>
      <c r="C207" t="s">
        <v>286</v>
      </c>
      <c r="D207">
        <v>298</v>
      </c>
      <c r="E207">
        <v>145</v>
      </c>
      <c r="F207">
        <v>43210</v>
      </c>
    </row>
    <row r="208" spans="1:6">
      <c r="A208" t="s">
        <v>492</v>
      </c>
      <c r="B208" s="33">
        <v>43271</v>
      </c>
      <c r="C208" t="s">
        <v>282</v>
      </c>
      <c r="D208">
        <v>279</v>
      </c>
      <c r="E208">
        <v>302</v>
      </c>
      <c r="F208">
        <v>84258</v>
      </c>
    </row>
    <row r="209" spans="1:6">
      <c r="A209" t="s">
        <v>493</v>
      </c>
      <c r="B209" s="33">
        <v>43271</v>
      </c>
      <c r="C209" t="s">
        <v>288</v>
      </c>
      <c r="D209">
        <v>102</v>
      </c>
      <c r="E209">
        <v>81</v>
      </c>
      <c r="F209">
        <v>8262</v>
      </c>
    </row>
    <row r="210" spans="1:6">
      <c r="A210" t="s">
        <v>494</v>
      </c>
      <c r="B210" s="33">
        <v>43271</v>
      </c>
      <c r="C210" t="s">
        <v>286</v>
      </c>
      <c r="D210">
        <v>83</v>
      </c>
      <c r="E210">
        <v>2</v>
      </c>
      <c r="F210">
        <v>166</v>
      </c>
    </row>
    <row r="211" spans="1:6">
      <c r="A211" t="s">
        <v>495</v>
      </c>
      <c r="B211" s="33">
        <v>43271</v>
      </c>
      <c r="C211" t="s">
        <v>284</v>
      </c>
      <c r="D211">
        <v>86</v>
      </c>
      <c r="E211">
        <v>51</v>
      </c>
      <c r="F211">
        <v>4386</v>
      </c>
    </row>
    <row r="212" spans="1:6">
      <c r="A212" t="s">
        <v>496</v>
      </c>
      <c r="B212" s="33">
        <v>43272</v>
      </c>
      <c r="C212" t="s">
        <v>286</v>
      </c>
      <c r="D212">
        <v>49</v>
      </c>
      <c r="E212">
        <v>356</v>
      </c>
      <c r="F212">
        <v>17444</v>
      </c>
    </row>
    <row r="213" spans="1:6">
      <c r="A213" t="s">
        <v>497</v>
      </c>
      <c r="B213" s="33">
        <v>43272</v>
      </c>
      <c r="C213" t="s">
        <v>288</v>
      </c>
      <c r="D213">
        <v>38</v>
      </c>
      <c r="E213">
        <v>50</v>
      </c>
      <c r="F213">
        <v>1900</v>
      </c>
    </row>
    <row r="214" spans="1:6">
      <c r="A214" t="s">
        <v>498</v>
      </c>
      <c r="B214" s="33">
        <v>43272</v>
      </c>
      <c r="C214" t="s">
        <v>284</v>
      </c>
      <c r="D214">
        <v>42</v>
      </c>
      <c r="E214">
        <v>173</v>
      </c>
      <c r="F214">
        <v>7266</v>
      </c>
    </row>
    <row r="215" spans="1:6">
      <c r="A215" t="s">
        <v>499</v>
      </c>
      <c r="B215" s="33">
        <v>43272</v>
      </c>
      <c r="C215" t="s">
        <v>284</v>
      </c>
      <c r="D215">
        <v>119</v>
      </c>
      <c r="E215">
        <v>18</v>
      </c>
      <c r="F215">
        <v>2142</v>
      </c>
    </row>
    <row r="216" spans="1:6">
      <c r="A216" t="s">
        <v>500</v>
      </c>
      <c r="B216" s="33">
        <v>43272</v>
      </c>
      <c r="C216" t="s">
        <v>284</v>
      </c>
      <c r="D216">
        <v>106</v>
      </c>
      <c r="E216">
        <v>97</v>
      </c>
      <c r="F216">
        <v>10282</v>
      </c>
    </row>
    <row r="217" spans="1:6">
      <c r="A217" t="s">
        <v>501</v>
      </c>
      <c r="B217" s="33">
        <v>43272</v>
      </c>
      <c r="C217" t="s">
        <v>288</v>
      </c>
      <c r="D217">
        <v>159</v>
      </c>
      <c r="E217">
        <v>179</v>
      </c>
      <c r="F217">
        <v>28461</v>
      </c>
    </row>
    <row r="218" spans="1:6">
      <c r="A218" t="s">
        <v>502</v>
      </c>
      <c r="B218" s="33">
        <v>43272</v>
      </c>
      <c r="C218" t="s">
        <v>286</v>
      </c>
      <c r="D218">
        <v>57</v>
      </c>
      <c r="E218">
        <v>362</v>
      </c>
      <c r="F218">
        <v>20634</v>
      </c>
    </row>
    <row r="219" spans="1:6">
      <c r="A219" t="s">
        <v>503</v>
      </c>
      <c r="B219" s="33">
        <v>43272</v>
      </c>
      <c r="C219" t="s">
        <v>290</v>
      </c>
      <c r="D219">
        <v>210</v>
      </c>
      <c r="E219">
        <v>409</v>
      </c>
      <c r="F219">
        <v>85890</v>
      </c>
    </row>
    <row r="220" spans="1:6">
      <c r="A220" t="s">
        <v>504</v>
      </c>
      <c r="B220" s="33">
        <v>43272</v>
      </c>
      <c r="C220" t="s">
        <v>282</v>
      </c>
      <c r="D220">
        <v>202</v>
      </c>
      <c r="E220">
        <v>105</v>
      </c>
      <c r="F220">
        <v>21210</v>
      </c>
    </row>
    <row r="221" spans="1:6">
      <c r="A221" t="s">
        <v>505</v>
      </c>
      <c r="B221" s="33">
        <v>43272</v>
      </c>
      <c r="C221" t="s">
        <v>288</v>
      </c>
      <c r="D221">
        <v>268</v>
      </c>
      <c r="E221">
        <v>214</v>
      </c>
      <c r="F221">
        <v>57352</v>
      </c>
    </row>
    <row r="222" spans="1:6">
      <c r="A222" t="s">
        <v>506</v>
      </c>
      <c r="B222" s="33">
        <v>43272</v>
      </c>
      <c r="C222" t="s">
        <v>284</v>
      </c>
      <c r="D222">
        <v>228</v>
      </c>
      <c r="E222">
        <v>335</v>
      </c>
      <c r="F222">
        <v>76380</v>
      </c>
    </row>
    <row r="223" spans="1:6">
      <c r="A223" t="s">
        <v>507</v>
      </c>
      <c r="B223" s="33">
        <v>43272</v>
      </c>
      <c r="C223" t="s">
        <v>288</v>
      </c>
      <c r="D223">
        <v>205</v>
      </c>
      <c r="E223">
        <v>157</v>
      </c>
      <c r="F223">
        <v>32185</v>
      </c>
    </row>
    <row r="224" spans="1:6">
      <c r="A224" t="s">
        <v>508</v>
      </c>
      <c r="B224" s="33">
        <v>43272</v>
      </c>
      <c r="C224" t="s">
        <v>288</v>
      </c>
      <c r="D224">
        <v>122</v>
      </c>
      <c r="E224">
        <v>70</v>
      </c>
      <c r="F224">
        <v>8540</v>
      </c>
    </row>
    <row r="225" spans="1:6">
      <c r="A225" t="s">
        <v>509</v>
      </c>
      <c r="B225" s="33">
        <v>43273</v>
      </c>
      <c r="C225" t="s">
        <v>288</v>
      </c>
      <c r="D225">
        <v>170</v>
      </c>
      <c r="E225">
        <v>196</v>
      </c>
      <c r="F225">
        <v>33320</v>
      </c>
    </row>
    <row r="226" spans="1:6">
      <c r="A226" t="s">
        <v>510</v>
      </c>
      <c r="B226" s="33">
        <v>43273</v>
      </c>
      <c r="C226" t="s">
        <v>290</v>
      </c>
      <c r="D226">
        <v>185</v>
      </c>
      <c r="E226">
        <v>73</v>
      </c>
      <c r="F226">
        <v>13505</v>
      </c>
    </row>
    <row r="227" spans="1:6">
      <c r="A227" t="s">
        <v>511</v>
      </c>
      <c r="B227" s="33">
        <v>43273</v>
      </c>
      <c r="C227" t="s">
        <v>288</v>
      </c>
      <c r="D227">
        <v>135</v>
      </c>
      <c r="E227">
        <v>12</v>
      </c>
      <c r="F227">
        <v>1620</v>
      </c>
    </row>
    <row r="228" spans="1:6">
      <c r="A228" t="s">
        <v>512</v>
      </c>
      <c r="B228" s="33">
        <v>43273</v>
      </c>
      <c r="C228" t="s">
        <v>284</v>
      </c>
      <c r="D228">
        <v>45</v>
      </c>
      <c r="E228">
        <v>31</v>
      </c>
      <c r="F228">
        <v>1395</v>
      </c>
    </row>
    <row r="229" spans="1:6">
      <c r="A229" t="s">
        <v>513</v>
      </c>
      <c r="B229" s="33">
        <v>43273</v>
      </c>
      <c r="C229" t="s">
        <v>290</v>
      </c>
      <c r="D229">
        <v>223</v>
      </c>
      <c r="E229">
        <v>318</v>
      </c>
      <c r="F229">
        <v>70914</v>
      </c>
    </row>
    <row r="230" spans="1:6">
      <c r="A230" t="s">
        <v>514</v>
      </c>
      <c r="B230" s="33">
        <v>43273</v>
      </c>
      <c r="C230" t="s">
        <v>284</v>
      </c>
      <c r="D230">
        <v>55</v>
      </c>
      <c r="E230">
        <v>5</v>
      </c>
      <c r="F230">
        <v>275</v>
      </c>
    </row>
    <row r="231" spans="1:6">
      <c r="A231" t="s">
        <v>515</v>
      </c>
      <c r="B231" s="33">
        <v>43273</v>
      </c>
      <c r="C231" t="s">
        <v>290</v>
      </c>
      <c r="D231">
        <v>45</v>
      </c>
      <c r="E231">
        <v>269</v>
      </c>
      <c r="F231">
        <v>12105</v>
      </c>
    </row>
    <row r="232" spans="1:6">
      <c r="A232" t="s">
        <v>516</v>
      </c>
      <c r="B232" s="33">
        <v>43273</v>
      </c>
      <c r="C232" t="s">
        <v>288</v>
      </c>
      <c r="D232">
        <v>153</v>
      </c>
      <c r="E232">
        <v>84</v>
      </c>
      <c r="F232">
        <v>12852</v>
      </c>
    </row>
    <row r="233" spans="1:6">
      <c r="A233" t="s">
        <v>517</v>
      </c>
      <c r="B233" s="33">
        <v>43273</v>
      </c>
      <c r="C233" t="s">
        <v>288</v>
      </c>
      <c r="D233">
        <v>290</v>
      </c>
      <c r="E233">
        <v>241</v>
      </c>
      <c r="F233">
        <v>69890</v>
      </c>
    </row>
    <row r="234" spans="1:6">
      <c r="A234" t="s">
        <v>518</v>
      </c>
      <c r="B234" s="33">
        <v>43273</v>
      </c>
      <c r="C234" t="s">
        <v>290</v>
      </c>
      <c r="D234">
        <v>263</v>
      </c>
      <c r="E234">
        <v>492</v>
      </c>
      <c r="F234">
        <v>129396</v>
      </c>
    </row>
    <row r="235" spans="1:6">
      <c r="A235" t="s">
        <v>519</v>
      </c>
      <c r="B235" s="33">
        <v>43273</v>
      </c>
      <c r="C235" t="s">
        <v>288</v>
      </c>
      <c r="D235">
        <v>39</v>
      </c>
      <c r="E235">
        <v>66</v>
      </c>
      <c r="F235">
        <v>2574</v>
      </c>
    </row>
    <row r="236" spans="1:6">
      <c r="A236" t="s">
        <v>520</v>
      </c>
      <c r="B236" s="33">
        <v>43273</v>
      </c>
      <c r="C236" t="s">
        <v>284</v>
      </c>
      <c r="D236">
        <v>105</v>
      </c>
      <c r="E236">
        <v>30</v>
      </c>
      <c r="F236">
        <v>3150</v>
      </c>
    </row>
    <row r="237" spans="1:6">
      <c r="A237" t="s">
        <v>521</v>
      </c>
      <c r="B237" s="33">
        <v>43273</v>
      </c>
      <c r="C237" t="s">
        <v>288</v>
      </c>
      <c r="D237">
        <v>295</v>
      </c>
      <c r="E237">
        <v>213</v>
      </c>
      <c r="F237">
        <v>62835</v>
      </c>
    </row>
    <row r="238" spans="1:6">
      <c r="A238" t="s">
        <v>522</v>
      </c>
      <c r="B238" s="33">
        <v>43273</v>
      </c>
      <c r="C238" t="s">
        <v>290</v>
      </c>
      <c r="D238">
        <v>99</v>
      </c>
      <c r="E238">
        <v>69</v>
      </c>
      <c r="F238">
        <v>6831</v>
      </c>
    </row>
    <row r="239" spans="1:6">
      <c r="A239" t="s">
        <v>523</v>
      </c>
      <c r="B239" s="33">
        <v>43274</v>
      </c>
      <c r="C239" t="s">
        <v>288</v>
      </c>
      <c r="D239">
        <v>32</v>
      </c>
      <c r="E239">
        <v>336</v>
      </c>
      <c r="F239">
        <v>10752</v>
      </c>
    </row>
    <row r="240" spans="1:6">
      <c r="A240" t="s">
        <v>524</v>
      </c>
      <c r="B240" s="33">
        <v>43274</v>
      </c>
      <c r="C240" t="s">
        <v>284</v>
      </c>
      <c r="D240">
        <v>96</v>
      </c>
      <c r="E240">
        <v>227</v>
      </c>
      <c r="F240">
        <v>21792</v>
      </c>
    </row>
    <row r="241" spans="1:6">
      <c r="A241" t="s">
        <v>525</v>
      </c>
      <c r="B241" s="33">
        <v>43274</v>
      </c>
      <c r="C241" t="s">
        <v>288</v>
      </c>
      <c r="D241">
        <v>39</v>
      </c>
      <c r="E241">
        <v>57</v>
      </c>
      <c r="F241">
        <v>2223</v>
      </c>
    </row>
    <row r="242" spans="1:6">
      <c r="A242" t="s">
        <v>526</v>
      </c>
      <c r="B242" s="33">
        <v>43274</v>
      </c>
      <c r="C242" t="s">
        <v>286</v>
      </c>
      <c r="D242">
        <v>103</v>
      </c>
      <c r="E242">
        <v>430</v>
      </c>
      <c r="F242">
        <v>44290</v>
      </c>
    </row>
    <row r="243" spans="1:6">
      <c r="A243" t="s">
        <v>527</v>
      </c>
      <c r="B243" s="33">
        <v>43274</v>
      </c>
      <c r="C243" t="s">
        <v>288</v>
      </c>
      <c r="D243">
        <v>135</v>
      </c>
      <c r="E243">
        <v>468</v>
      </c>
      <c r="F243">
        <v>63180</v>
      </c>
    </row>
    <row r="244" spans="1:6">
      <c r="A244" t="s">
        <v>528</v>
      </c>
      <c r="B244" s="33">
        <v>43274</v>
      </c>
      <c r="C244" t="s">
        <v>282</v>
      </c>
      <c r="D244">
        <v>58</v>
      </c>
      <c r="E244">
        <v>15</v>
      </c>
      <c r="F244">
        <v>870</v>
      </c>
    </row>
    <row r="245" spans="1:6">
      <c r="A245" t="s">
        <v>529</v>
      </c>
      <c r="B245" s="33">
        <v>43274</v>
      </c>
      <c r="C245" t="s">
        <v>282</v>
      </c>
      <c r="D245">
        <v>202</v>
      </c>
      <c r="E245">
        <v>230</v>
      </c>
      <c r="F245">
        <v>46460</v>
      </c>
    </row>
    <row r="246" spans="1:6">
      <c r="A246" t="s">
        <v>530</v>
      </c>
      <c r="B246" s="33">
        <v>43274</v>
      </c>
      <c r="C246" t="s">
        <v>282</v>
      </c>
      <c r="D246">
        <v>127</v>
      </c>
      <c r="E246">
        <v>26</v>
      </c>
      <c r="F246">
        <v>3302</v>
      </c>
    </row>
    <row r="247" spans="1:6">
      <c r="A247" t="s">
        <v>531</v>
      </c>
      <c r="B247" s="33">
        <v>43274</v>
      </c>
      <c r="C247" t="s">
        <v>282</v>
      </c>
      <c r="D247">
        <v>229</v>
      </c>
      <c r="E247">
        <v>55</v>
      </c>
      <c r="F247">
        <v>12595</v>
      </c>
    </row>
    <row r="248" spans="1:6">
      <c r="A248" t="s">
        <v>532</v>
      </c>
      <c r="B248" s="33">
        <v>43274</v>
      </c>
      <c r="C248" t="s">
        <v>282</v>
      </c>
      <c r="D248">
        <v>249</v>
      </c>
      <c r="E248">
        <v>93</v>
      </c>
      <c r="F248">
        <v>23157</v>
      </c>
    </row>
    <row r="249" spans="1:6">
      <c r="A249" t="s">
        <v>533</v>
      </c>
      <c r="B249" s="33">
        <v>43274</v>
      </c>
      <c r="C249" t="s">
        <v>288</v>
      </c>
      <c r="D249">
        <v>101</v>
      </c>
      <c r="E249">
        <v>363</v>
      </c>
      <c r="F249">
        <v>36663</v>
      </c>
    </row>
    <row r="250" spans="1:6">
      <c r="A250" t="s">
        <v>534</v>
      </c>
      <c r="B250" s="33">
        <v>43275</v>
      </c>
      <c r="C250" t="s">
        <v>284</v>
      </c>
      <c r="D250">
        <v>15</v>
      </c>
      <c r="E250">
        <v>493</v>
      </c>
      <c r="F250">
        <v>7395</v>
      </c>
    </row>
    <row r="251" spans="1:6">
      <c r="A251" t="s">
        <v>535</v>
      </c>
      <c r="B251" s="33">
        <v>43275</v>
      </c>
      <c r="C251" t="s">
        <v>284</v>
      </c>
      <c r="D251">
        <v>26</v>
      </c>
      <c r="E251">
        <v>380</v>
      </c>
      <c r="F251">
        <v>9880</v>
      </c>
    </row>
    <row r="252" spans="1:6">
      <c r="A252" t="s">
        <v>536</v>
      </c>
      <c r="B252" s="33">
        <v>43275</v>
      </c>
      <c r="C252" t="s">
        <v>290</v>
      </c>
      <c r="D252">
        <v>45</v>
      </c>
      <c r="E252">
        <v>135</v>
      </c>
      <c r="F252">
        <v>6075</v>
      </c>
    </row>
    <row r="253" spans="1:6">
      <c r="A253" t="s">
        <v>537</v>
      </c>
      <c r="B253" s="33">
        <v>43275</v>
      </c>
      <c r="C253" t="s">
        <v>288</v>
      </c>
      <c r="D253">
        <v>115</v>
      </c>
      <c r="E253">
        <v>340</v>
      </c>
      <c r="F253">
        <v>39100</v>
      </c>
    </row>
    <row r="254" spans="1:6">
      <c r="A254" t="s">
        <v>538</v>
      </c>
      <c r="B254" s="33">
        <v>43275</v>
      </c>
      <c r="C254" t="s">
        <v>282</v>
      </c>
      <c r="D254">
        <v>109</v>
      </c>
      <c r="E254">
        <v>326</v>
      </c>
      <c r="F254">
        <v>35534</v>
      </c>
    </row>
    <row r="255" spans="1:6">
      <c r="A255" t="s">
        <v>539</v>
      </c>
      <c r="B255" s="33">
        <v>43275</v>
      </c>
      <c r="C255" t="s">
        <v>288</v>
      </c>
      <c r="D255">
        <v>282</v>
      </c>
      <c r="E255">
        <v>23</v>
      </c>
      <c r="F255">
        <v>6486</v>
      </c>
    </row>
    <row r="256" spans="1:6">
      <c r="A256" t="s">
        <v>540</v>
      </c>
      <c r="B256" s="33">
        <v>43275</v>
      </c>
      <c r="C256" t="s">
        <v>284</v>
      </c>
      <c r="D256">
        <v>18</v>
      </c>
      <c r="E256">
        <v>260</v>
      </c>
      <c r="F256">
        <v>4680</v>
      </c>
    </row>
    <row r="257" spans="1:6">
      <c r="A257" t="s">
        <v>541</v>
      </c>
      <c r="B257" s="33">
        <v>43275</v>
      </c>
      <c r="C257" t="s">
        <v>288</v>
      </c>
      <c r="D257">
        <v>38</v>
      </c>
      <c r="E257">
        <v>464</v>
      </c>
      <c r="F257">
        <v>17632</v>
      </c>
    </row>
    <row r="258" spans="1:6">
      <c r="A258" t="s">
        <v>542</v>
      </c>
      <c r="B258" s="33">
        <v>43275</v>
      </c>
      <c r="C258" t="s">
        <v>288</v>
      </c>
      <c r="D258">
        <v>213</v>
      </c>
      <c r="E258">
        <v>403</v>
      </c>
      <c r="F258">
        <v>85839</v>
      </c>
    </row>
    <row r="259" spans="1:6">
      <c r="A259" t="s">
        <v>543</v>
      </c>
      <c r="B259" s="33">
        <v>43275</v>
      </c>
      <c r="C259" t="s">
        <v>288</v>
      </c>
      <c r="D259">
        <v>103</v>
      </c>
      <c r="E259">
        <v>374</v>
      </c>
      <c r="F259">
        <v>38522</v>
      </c>
    </row>
    <row r="260" spans="1:6">
      <c r="A260" t="s">
        <v>544</v>
      </c>
      <c r="B260" s="33">
        <v>43275</v>
      </c>
      <c r="C260" t="s">
        <v>286</v>
      </c>
      <c r="D260">
        <v>34</v>
      </c>
      <c r="E260">
        <v>164</v>
      </c>
      <c r="F260">
        <v>5576</v>
      </c>
    </row>
    <row r="261" spans="1:6">
      <c r="A261" t="s">
        <v>545</v>
      </c>
      <c r="B261" s="33">
        <v>43275</v>
      </c>
      <c r="C261" t="s">
        <v>290</v>
      </c>
      <c r="D261">
        <v>284</v>
      </c>
      <c r="E261">
        <v>466</v>
      </c>
      <c r="F261">
        <v>132344</v>
      </c>
    </row>
    <row r="262" spans="1:6">
      <c r="A262" t="s">
        <v>546</v>
      </c>
      <c r="B262" s="33">
        <v>43275</v>
      </c>
      <c r="C262" t="s">
        <v>282</v>
      </c>
      <c r="D262">
        <v>65</v>
      </c>
      <c r="E262">
        <v>96</v>
      </c>
      <c r="F262">
        <v>6240</v>
      </c>
    </row>
    <row r="263" spans="1:6">
      <c r="A263" t="s">
        <v>547</v>
      </c>
      <c r="B263" s="33">
        <v>43275</v>
      </c>
      <c r="C263" t="s">
        <v>286</v>
      </c>
      <c r="D263">
        <v>23</v>
      </c>
      <c r="E263">
        <v>351</v>
      </c>
      <c r="F263">
        <v>8073</v>
      </c>
    </row>
    <row r="264" spans="1:6">
      <c r="A264" t="s">
        <v>548</v>
      </c>
      <c r="B264" s="33">
        <v>43276</v>
      </c>
      <c r="C264" t="s">
        <v>290</v>
      </c>
      <c r="D264">
        <v>19</v>
      </c>
      <c r="E264">
        <v>59</v>
      </c>
      <c r="F264">
        <v>1121</v>
      </c>
    </row>
    <row r="265" spans="1:6">
      <c r="A265" t="s">
        <v>549</v>
      </c>
      <c r="B265" s="33">
        <v>43276</v>
      </c>
      <c r="C265" t="s">
        <v>290</v>
      </c>
      <c r="D265">
        <v>43</v>
      </c>
      <c r="E265">
        <v>58</v>
      </c>
      <c r="F265">
        <v>2494</v>
      </c>
    </row>
    <row r="266" spans="1:6">
      <c r="A266" t="s">
        <v>550</v>
      </c>
      <c r="B266" s="33">
        <v>43276</v>
      </c>
      <c r="C266" t="s">
        <v>284</v>
      </c>
      <c r="D266">
        <v>132</v>
      </c>
      <c r="E266">
        <v>329</v>
      </c>
      <c r="F266">
        <v>43428</v>
      </c>
    </row>
    <row r="267" spans="1:6">
      <c r="A267" t="s">
        <v>551</v>
      </c>
      <c r="B267" s="33">
        <v>43276</v>
      </c>
      <c r="C267" t="s">
        <v>284</v>
      </c>
      <c r="D267">
        <v>92</v>
      </c>
      <c r="E267">
        <v>26</v>
      </c>
      <c r="F267">
        <v>2392</v>
      </c>
    </row>
    <row r="268" spans="1:6">
      <c r="A268" t="s">
        <v>552</v>
      </c>
      <c r="B268" s="33">
        <v>43276</v>
      </c>
      <c r="C268" t="s">
        <v>288</v>
      </c>
      <c r="D268">
        <v>186</v>
      </c>
      <c r="E268">
        <v>390</v>
      </c>
      <c r="F268">
        <v>72540</v>
      </c>
    </row>
    <row r="269" spans="1:6">
      <c r="A269" t="s">
        <v>553</v>
      </c>
      <c r="B269" s="33">
        <v>43276</v>
      </c>
      <c r="C269" t="s">
        <v>284</v>
      </c>
      <c r="D269">
        <v>130</v>
      </c>
      <c r="E269">
        <v>235</v>
      </c>
      <c r="F269">
        <v>30550</v>
      </c>
    </row>
    <row r="270" spans="1:6">
      <c r="A270" t="s">
        <v>554</v>
      </c>
      <c r="B270" s="33">
        <v>43276</v>
      </c>
      <c r="C270" t="s">
        <v>286</v>
      </c>
      <c r="D270">
        <v>228</v>
      </c>
      <c r="E270">
        <v>353</v>
      </c>
      <c r="F270">
        <v>80484</v>
      </c>
    </row>
    <row r="271" spans="1:6">
      <c r="A271" t="s">
        <v>555</v>
      </c>
      <c r="B271" s="33">
        <v>43276</v>
      </c>
      <c r="C271" t="s">
        <v>282</v>
      </c>
      <c r="D271">
        <v>181</v>
      </c>
      <c r="E271">
        <v>173</v>
      </c>
      <c r="F271">
        <v>31313</v>
      </c>
    </row>
    <row r="272" spans="1:6">
      <c r="A272" t="s">
        <v>556</v>
      </c>
      <c r="B272" s="33">
        <v>43276</v>
      </c>
      <c r="C272" t="s">
        <v>284</v>
      </c>
      <c r="D272">
        <v>70</v>
      </c>
      <c r="E272">
        <v>91</v>
      </c>
      <c r="F272">
        <v>6370</v>
      </c>
    </row>
    <row r="273" spans="1:6">
      <c r="A273" t="s">
        <v>557</v>
      </c>
      <c r="B273" s="33">
        <v>43276</v>
      </c>
      <c r="C273" t="s">
        <v>290</v>
      </c>
      <c r="D273">
        <v>291</v>
      </c>
      <c r="E273">
        <v>69</v>
      </c>
      <c r="F273">
        <v>20079</v>
      </c>
    </row>
    <row r="274" spans="1:6">
      <c r="A274" t="s">
        <v>558</v>
      </c>
      <c r="B274" s="33">
        <v>43276</v>
      </c>
      <c r="C274" t="s">
        <v>288</v>
      </c>
      <c r="D274">
        <v>150</v>
      </c>
      <c r="E274">
        <v>399</v>
      </c>
      <c r="F274">
        <v>59850</v>
      </c>
    </row>
    <row r="275" spans="1:6">
      <c r="A275" t="s">
        <v>559</v>
      </c>
      <c r="B275" s="33">
        <v>43276</v>
      </c>
      <c r="C275" t="s">
        <v>290</v>
      </c>
      <c r="D275">
        <v>266</v>
      </c>
      <c r="E275">
        <v>407</v>
      </c>
      <c r="F275">
        <v>108262</v>
      </c>
    </row>
    <row r="276" spans="1:6">
      <c r="A276" t="s">
        <v>560</v>
      </c>
      <c r="B276" s="33">
        <v>43276</v>
      </c>
      <c r="C276" t="s">
        <v>282</v>
      </c>
      <c r="D276">
        <v>100</v>
      </c>
      <c r="E276">
        <v>95</v>
      </c>
      <c r="F276">
        <v>9500</v>
      </c>
    </row>
    <row r="277" spans="1:6">
      <c r="A277" t="s">
        <v>561</v>
      </c>
      <c r="B277" s="33">
        <v>43276</v>
      </c>
      <c r="C277" t="s">
        <v>284</v>
      </c>
      <c r="D277">
        <v>68</v>
      </c>
      <c r="E277">
        <v>41</v>
      </c>
      <c r="F277">
        <v>2788</v>
      </c>
    </row>
    <row r="278" spans="1:6">
      <c r="A278" t="s">
        <v>562</v>
      </c>
      <c r="B278" s="33">
        <v>43276</v>
      </c>
      <c r="C278" t="s">
        <v>290</v>
      </c>
      <c r="D278">
        <v>170</v>
      </c>
      <c r="E278">
        <v>60</v>
      </c>
      <c r="F278">
        <v>10200</v>
      </c>
    </row>
    <row r="279" spans="1:6">
      <c r="A279" t="s">
        <v>563</v>
      </c>
      <c r="B279" s="33">
        <v>43276</v>
      </c>
      <c r="C279" t="s">
        <v>282</v>
      </c>
      <c r="D279">
        <v>187</v>
      </c>
      <c r="E279">
        <v>142</v>
      </c>
      <c r="F279">
        <v>26554</v>
      </c>
    </row>
    <row r="280" spans="1:6">
      <c r="A280" t="s">
        <v>564</v>
      </c>
      <c r="B280" s="33">
        <v>43276</v>
      </c>
      <c r="C280" t="s">
        <v>288</v>
      </c>
      <c r="D280">
        <v>140</v>
      </c>
      <c r="E280">
        <v>387</v>
      </c>
      <c r="F280">
        <v>54180</v>
      </c>
    </row>
    <row r="281" spans="1:6">
      <c r="A281" t="s">
        <v>565</v>
      </c>
      <c r="B281" s="33">
        <v>43276</v>
      </c>
      <c r="C281" t="s">
        <v>290</v>
      </c>
      <c r="D281">
        <v>256</v>
      </c>
      <c r="E281">
        <v>320</v>
      </c>
      <c r="F281">
        <v>81920</v>
      </c>
    </row>
    <row r="282" spans="1:6">
      <c r="A282" t="s">
        <v>566</v>
      </c>
      <c r="B282" s="33">
        <v>43277</v>
      </c>
      <c r="C282" t="s">
        <v>290</v>
      </c>
      <c r="D282">
        <v>270</v>
      </c>
      <c r="E282">
        <v>82</v>
      </c>
      <c r="F282">
        <v>22140</v>
      </c>
    </row>
    <row r="283" spans="1:6">
      <c r="A283" t="s">
        <v>567</v>
      </c>
      <c r="B283" s="33">
        <v>43277</v>
      </c>
      <c r="C283" t="s">
        <v>290</v>
      </c>
      <c r="D283">
        <v>163</v>
      </c>
      <c r="E283">
        <v>141</v>
      </c>
      <c r="F283">
        <v>22983</v>
      </c>
    </row>
    <row r="284" spans="1:6">
      <c r="A284" t="s">
        <v>568</v>
      </c>
      <c r="B284" s="33">
        <v>43277</v>
      </c>
      <c r="C284" t="s">
        <v>282</v>
      </c>
      <c r="D284">
        <v>31</v>
      </c>
      <c r="E284">
        <v>54</v>
      </c>
      <c r="F284">
        <v>1674</v>
      </c>
    </row>
    <row r="285" spans="1:6">
      <c r="A285" t="s">
        <v>569</v>
      </c>
      <c r="B285" s="33">
        <v>43277</v>
      </c>
      <c r="C285" t="s">
        <v>282</v>
      </c>
      <c r="D285">
        <v>150</v>
      </c>
      <c r="E285">
        <v>60</v>
      </c>
      <c r="F285">
        <v>9000</v>
      </c>
    </row>
    <row r="286" spans="1:6">
      <c r="A286" t="s">
        <v>570</v>
      </c>
      <c r="B286" s="33">
        <v>43277</v>
      </c>
      <c r="C286" t="s">
        <v>282</v>
      </c>
      <c r="D286">
        <v>23</v>
      </c>
      <c r="E286">
        <v>496</v>
      </c>
      <c r="F286">
        <v>11408</v>
      </c>
    </row>
    <row r="287" spans="1:6">
      <c r="A287" t="s">
        <v>571</v>
      </c>
      <c r="B287" s="33">
        <v>43277</v>
      </c>
      <c r="C287" t="s">
        <v>288</v>
      </c>
      <c r="D287">
        <v>118</v>
      </c>
      <c r="E287">
        <v>437</v>
      </c>
      <c r="F287">
        <v>51566</v>
      </c>
    </row>
    <row r="288" spans="1:6">
      <c r="A288" t="s">
        <v>572</v>
      </c>
      <c r="B288" s="33">
        <v>43277</v>
      </c>
      <c r="C288" t="s">
        <v>288</v>
      </c>
      <c r="D288">
        <v>122</v>
      </c>
      <c r="E288">
        <v>129</v>
      </c>
      <c r="F288">
        <v>15738</v>
      </c>
    </row>
    <row r="289" spans="1:6">
      <c r="A289" t="s">
        <v>573</v>
      </c>
      <c r="B289" s="33">
        <v>43277</v>
      </c>
      <c r="C289" t="s">
        <v>284</v>
      </c>
      <c r="D289">
        <v>108</v>
      </c>
      <c r="E289">
        <v>333</v>
      </c>
      <c r="F289">
        <v>35964</v>
      </c>
    </row>
    <row r="290" spans="1:6">
      <c r="A290" t="s">
        <v>574</v>
      </c>
      <c r="B290" s="33">
        <v>43277</v>
      </c>
      <c r="C290" t="s">
        <v>282</v>
      </c>
      <c r="D290">
        <v>130</v>
      </c>
      <c r="E290">
        <v>134</v>
      </c>
      <c r="F290">
        <v>17420</v>
      </c>
    </row>
    <row r="291" spans="1:6">
      <c r="A291" t="s">
        <v>575</v>
      </c>
      <c r="B291" s="33">
        <v>43277</v>
      </c>
      <c r="C291" t="s">
        <v>286</v>
      </c>
      <c r="D291">
        <v>180</v>
      </c>
      <c r="E291">
        <v>94</v>
      </c>
      <c r="F291">
        <v>16920</v>
      </c>
    </row>
    <row r="292" spans="1:6">
      <c r="A292" t="s">
        <v>576</v>
      </c>
      <c r="B292" s="33">
        <v>43277</v>
      </c>
      <c r="C292" t="s">
        <v>286</v>
      </c>
      <c r="D292">
        <v>187</v>
      </c>
      <c r="E292">
        <v>407</v>
      </c>
      <c r="F292">
        <v>76109</v>
      </c>
    </row>
    <row r="293" spans="1:6">
      <c r="A293" t="s">
        <v>577</v>
      </c>
      <c r="B293" s="33">
        <v>43278</v>
      </c>
      <c r="C293" t="s">
        <v>282</v>
      </c>
      <c r="D293">
        <v>183</v>
      </c>
      <c r="E293">
        <v>245</v>
      </c>
      <c r="F293">
        <v>44835</v>
      </c>
    </row>
    <row r="294" spans="1:6">
      <c r="A294" t="s">
        <v>578</v>
      </c>
      <c r="B294" s="33">
        <v>43278</v>
      </c>
      <c r="C294" t="s">
        <v>284</v>
      </c>
      <c r="D294">
        <v>177</v>
      </c>
      <c r="E294">
        <v>214</v>
      </c>
      <c r="F294">
        <v>37878</v>
      </c>
    </row>
    <row r="295" spans="1:6">
      <c r="A295" t="s">
        <v>579</v>
      </c>
      <c r="B295" s="33">
        <v>43278</v>
      </c>
      <c r="C295" t="s">
        <v>288</v>
      </c>
      <c r="D295">
        <v>50</v>
      </c>
      <c r="E295">
        <v>12</v>
      </c>
      <c r="F295">
        <v>600</v>
      </c>
    </row>
    <row r="296" spans="1:6">
      <c r="A296" t="s">
        <v>580</v>
      </c>
      <c r="B296" s="33">
        <v>43278</v>
      </c>
      <c r="C296" t="s">
        <v>284</v>
      </c>
      <c r="D296">
        <v>162</v>
      </c>
      <c r="E296">
        <v>44</v>
      </c>
      <c r="F296">
        <v>7128</v>
      </c>
    </row>
    <row r="297" spans="1:6">
      <c r="A297" t="s">
        <v>581</v>
      </c>
      <c r="B297" s="33">
        <v>43278</v>
      </c>
      <c r="C297" t="s">
        <v>286</v>
      </c>
      <c r="D297">
        <v>142</v>
      </c>
      <c r="E297">
        <v>41</v>
      </c>
      <c r="F297">
        <v>5822</v>
      </c>
    </row>
    <row r="298" spans="1:6">
      <c r="A298" t="s">
        <v>582</v>
      </c>
      <c r="B298" s="33">
        <v>43278</v>
      </c>
      <c r="C298" t="s">
        <v>284</v>
      </c>
      <c r="D298">
        <v>181</v>
      </c>
      <c r="E298">
        <v>126</v>
      </c>
      <c r="F298">
        <v>22806</v>
      </c>
    </row>
    <row r="299" spans="1:6">
      <c r="A299" t="s">
        <v>583</v>
      </c>
      <c r="B299" s="33">
        <v>43278</v>
      </c>
      <c r="C299" t="s">
        <v>290</v>
      </c>
      <c r="D299">
        <v>136</v>
      </c>
      <c r="E299">
        <v>73</v>
      </c>
      <c r="F299">
        <v>9928</v>
      </c>
    </row>
    <row r="300" spans="1:6">
      <c r="A300" t="s">
        <v>584</v>
      </c>
      <c r="B300" s="33">
        <v>43278</v>
      </c>
      <c r="C300" t="s">
        <v>284</v>
      </c>
      <c r="D300">
        <v>205</v>
      </c>
      <c r="E300">
        <v>203</v>
      </c>
      <c r="F300">
        <v>41615</v>
      </c>
    </row>
    <row r="301" spans="1:6">
      <c r="A301" t="s">
        <v>585</v>
      </c>
      <c r="B301" s="33">
        <v>43279</v>
      </c>
      <c r="C301" t="s">
        <v>286</v>
      </c>
      <c r="D301">
        <v>89</v>
      </c>
      <c r="E301">
        <v>6</v>
      </c>
      <c r="F301">
        <v>534</v>
      </c>
    </row>
    <row r="302" spans="1:6">
      <c r="A302" t="s">
        <v>586</v>
      </c>
      <c r="B302" s="33">
        <v>43279</v>
      </c>
      <c r="C302" t="s">
        <v>282</v>
      </c>
      <c r="D302">
        <v>282</v>
      </c>
      <c r="E302">
        <v>229</v>
      </c>
      <c r="F302">
        <v>64578</v>
      </c>
    </row>
    <row r="303" spans="1:6">
      <c r="A303" t="s">
        <v>587</v>
      </c>
      <c r="B303" s="33">
        <v>43279</v>
      </c>
      <c r="C303" t="s">
        <v>286</v>
      </c>
      <c r="D303">
        <v>258</v>
      </c>
      <c r="E303">
        <v>376</v>
      </c>
      <c r="F303">
        <v>97008</v>
      </c>
    </row>
    <row r="304" spans="1:6">
      <c r="A304" t="s">
        <v>588</v>
      </c>
      <c r="B304" s="33">
        <v>43279</v>
      </c>
      <c r="C304" t="s">
        <v>286</v>
      </c>
      <c r="D304">
        <v>276</v>
      </c>
      <c r="E304">
        <v>352</v>
      </c>
      <c r="F304">
        <v>97152</v>
      </c>
    </row>
    <row r="305" spans="1:6">
      <c r="A305" t="s">
        <v>589</v>
      </c>
      <c r="B305" s="33">
        <v>43279</v>
      </c>
      <c r="C305" t="s">
        <v>284</v>
      </c>
      <c r="D305">
        <v>274</v>
      </c>
      <c r="E305">
        <v>16</v>
      </c>
      <c r="F305">
        <v>4384</v>
      </c>
    </row>
    <row r="306" spans="1:6">
      <c r="A306" t="s">
        <v>590</v>
      </c>
      <c r="B306" s="33">
        <v>43279</v>
      </c>
      <c r="C306" t="s">
        <v>284</v>
      </c>
      <c r="D306">
        <v>37</v>
      </c>
      <c r="E306">
        <v>292</v>
      </c>
      <c r="F306">
        <v>10804</v>
      </c>
    </row>
    <row r="307" spans="1:6">
      <c r="A307" t="s">
        <v>591</v>
      </c>
      <c r="B307" s="33">
        <v>43279</v>
      </c>
      <c r="C307" t="s">
        <v>288</v>
      </c>
      <c r="D307">
        <v>87</v>
      </c>
      <c r="E307">
        <v>61</v>
      </c>
      <c r="F307">
        <v>5307</v>
      </c>
    </row>
    <row r="308" spans="1:6">
      <c r="A308" t="s">
        <v>592</v>
      </c>
      <c r="B308" s="33">
        <v>43279</v>
      </c>
      <c r="C308" t="s">
        <v>290</v>
      </c>
      <c r="D308">
        <v>117</v>
      </c>
      <c r="E308">
        <v>42</v>
      </c>
      <c r="F308">
        <v>4914</v>
      </c>
    </row>
    <row r="309" spans="1:6">
      <c r="A309" t="s">
        <v>593</v>
      </c>
      <c r="B309" s="33">
        <v>43279</v>
      </c>
      <c r="C309" t="s">
        <v>290</v>
      </c>
      <c r="D309">
        <v>282</v>
      </c>
      <c r="E309">
        <v>27</v>
      </c>
      <c r="F309">
        <v>7614</v>
      </c>
    </row>
    <row r="310" spans="1:6">
      <c r="A310" t="s">
        <v>594</v>
      </c>
      <c r="B310" s="33">
        <v>43280</v>
      </c>
      <c r="C310" t="s">
        <v>282</v>
      </c>
      <c r="D310">
        <v>75</v>
      </c>
      <c r="E310">
        <v>407</v>
      </c>
      <c r="F310">
        <v>30525</v>
      </c>
    </row>
    <row r="311" spans="1:6">
      <c r="A311" t="s">
        <v>595</v>
      </c>
      <c r="B311" s="33">
        <v>43280</v>
      </c>
      <c r="C311" t="s">
        <v>282</v>
      </c>
      <c r="D311">
        <v>38</v>
      </c>
      <c r="E311">
        <v>58</v>
      </c>
      <c r="F311">
        <v>2204</v>
      </c>
    </row>
    <row r="312" spans="1:6">
      <c r="A312" t="s">
        <v>596</v>
      </c>
      <c r="B312" s="33">
        <v>43280</v>
      </c>
      <c r="C312" t="s">
        <v>282</v>
      </c>
      <c r="D312">
        <v>286</v>
      </c>
      <c r="E312">
        <v>9</v>
      </c>
      <c r="F312">
        <v>2574</v>
      </c>
    </row>
    <row r="313" spans="1:6">
      <c r="A313" t="s">
        <v>597</v>
      </c>
      <c r="B313" s="33">
        <v>43280</v>
      </c>
      <c r="C313" t="s">
        <v>282</v>
      </c>
      <c r="D313">
        <v>287</v>
      </c>
      <c r="E313">
        <v>115</v>
      </c>
      <c r="F313">
        <v>33005</v>
      </c>
    </row>
    <row r="314" spans="1:6">
      <c r="A314" t="s">
        <v>598</v>
      </c>
      <c r="B314" s="33">
        <v>43280</v>
      </c>
      <c r="C314" t="s">
        <v>286</v>
      </c>
      <c r="D314">
        <v>192</v>
      </c>
      <c r="E314">
        <v>20</v>
      </c>
      <c r="F314">
        <v>3840</v>
      </c>
    </row>
    <row r="315" spans="1:6">
      <c r="A315" t="s">
        <v>599</v>
      </c>
      <c r="B315" s="33">
        <v>43280</v>
      </c>
      <c r="C315" t="s">
        <v>284</v>
      </c>
      <c r="D315">
        <v>65</v>
      </c>
      <c r="E315">
        <v>1</v>
      </c>
      <c r="F315">
        <v>65</v>
      </c>
    </row>
    <row r="316" spans="1:6">
      <c r="A316" t="s">
        <v>600</v>
      </c>
      <c r="B316" s="33">
        <v>43280</v>
      </c>
      <c r="C316" t="s">
        <v>282</v>
      </c>
      <c r="D316">
        <v>28</v>
      </c>
      <c r="E316">
        <v>339</v>
      </c>
      <c r="F316">
        <v>9492</v>
      </c>
    </row>
    <row r="317" spans="1:6">
      <c r="A317" t="s">
        <v>601</v>
      </c>
      <c r="B317" s="33">
        <v>43281</v>
      </c>
      <c r="C317" t="s">
        <v>288</v>
      </c>
      <c r="D317">
        <v>84</v>
      </c>
      <c r="E317">
        <v>443</v>
      </c>
      <c r="F317">
        <v>37212</v>
      </c>
    </row>
    <row r="318" spans="1:6">
      <c r="A318" t="s">
        <v>602</v>
      </c>
      <c r="B318" s="33">
        <v>43281</v>
      </c>
      <c r="C318" t="s">
        <v>290</v>
      </c>
      <c r="D318">
        <v>100</v>
      </c>
      <c r="E318">
        <v>83</v>
      </c>
      <c r="F318">
        <v>8300</v>
      </c>
    </row>
    <row r="319" spans="1:6">
      <c r="A319" t="s">
        <v>603</v>
      </c>
      <c r="B319" s="33">
        <v>43281</v>
      </c>
      <c r="C319" t="s">
        <v>282</v>
      </c>
      <c r="D319">
        <v>21</v>
      </c>
      <c r="E319">
        <v>494</v>
      </c>
      <c r="F319">
        <v>10374</v>
      </c>
    </row>
    <row r="320" spans="1:6">
      <c r="A320" t="s">
        <v>604</v>
      </c>
      <c r="B320" s="33">
        <v>43281</v>
      </c>
      <c r="C320" t="s">
        <v>282</v>
      </c>
      <c r="D320">
        <v>119</v>
      </c>
      <c r="E320">
        <v>25</v>
      </c>
      <c r="F320">
        <v>2975</v>
      </c>
    </row>
    <row r="321" spans="1:6">
      <c r="A321" t="s">
        <v>605</v>
      </c>
      <c r="B321" s="33">
        <v>43281</v>
      </c>
      <c r="C321" t="s">
        <v>282</v>
      </c>
      <c r="D321">
        <v>103</v>
      </c>
      <c r="E321">
        <v>242</v>
      </c>
      <c r="F321">
        <v>24926</v>
      </c>
    </row>
    <row r="322" spans="1:6">
      <c r="A322" t="s">
        <v>606</v>
      </c>
      <c r="B322" s="33">
        <v>43281</v>
      </c>
      <c r="C322" t="s">
        <v>282</v>
      </c>
      <c r="D322">
        <v>237</v>
      </c>
      <c r="E322">
        <v>289</v>
      </c>
      <c r="F322">
        <v>68493</v>
      </c>
    </row>
    <row r="323" spans="1:6">
      <c r="A323" t="s">
        <v>607</v>
      </c>
      <c r="B323" s="33">
        <v>43281</v>
      </c>
      <c r="C323" t="s">
        <v>288</v>
      </c>
      <c r="D323">
        <v>54</v>
      </c>
      <c r="E323">
        <v>7</v>
      </c>
      <c r="F323">
        <v>378</v>
      </c>
    </row>
    <row r="324" spans="1:6">
      <c r="A324" t="s">
        <v>608</v>
      </c>
      <c r="B324" s="33">
        <v>43281</v>
      </c>
      <c r="C324" t="s">
        <v>284</v>
      </c>
      <c r="D324">
        <v>107</v>
      </c>
      <c r="E324">
        <v>365</v>
      </c>
      <c r="F324">
        <v>39055</v>
      </c>
    </row>
    <row r="325" spans="1:6">
      <c r="A325" t="s">
        <v>609</v>
      </c>
      <c r="B325" s="33">
        <v>43281</v>
      </c>
      <c r="C325" t="s">
        <v>284</v>
      </c>
      <c r="D325">
        <v>72</v>
      </c>
      <c r="E325">
        <v>95</v>
      </c>
      <c r="F325">
        <v>6840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5958-3CDA-4338-B98C-779DCF7D99E0}">
  <dimension ref="A1:F649"/>
  <sheetViews>
    <sheetView workbookViewId="0"/>
  </sheetViews>
  <sheetFormatPr defaultRowHeight="14.4"/>
  <cols>
    <col min="1" max="1" width="11" bestFit="1" customWidth="1"/>
    <col min="2" max="2" width="10.33203125" bestFit="1" customWidth="1"/>
    <col min="3" max="3" width="12" bestFit="1" customWidth="1"/>
    <col min="4" max="4" width="10.5546875" bestFit="1" customWidth="1"/>
    <col min="5" max="5" width="7.33203125" bestFit="1" customWidth="1"/>
    <col min="6" max="6" width="12.109375" bestFit="1" customWidth="1"/>
  </cols>
  <sheetData>
    <row r="1" spans="1:6">
      <c r="A1" t="s">
        <v>276</v>
      </c>
      <c r="B1" t="s">
        <v>277</v>
      </c>
      <c r="C1" t="s">
        <v>278</v>
      </c>
      <c r="D1" t="s">
        <v>4</v>
      </c>
      <c r="E1" t="s">
        <v>279</v>
      </c>
      <c r="F1" t="s">
        <v>280</v>
      </c>
    </row>
    <row r="2" spans="1:6">
      <c r="A2" t="s">
        <v>281</v>
      </c>
      <c r="B2" s="33">
        <v>43252</v>
      </c>
      <c r="C2" t="s">
        <v>282</v>
      </c>
      <c r="D2">
        <v>55</v>
      </c>
      <c r="E2">
        <v>8</v>
      </c>
      <c r="F2">
        <v>440</v>
      </c>
    </row>
    <row r="3" spans="1:6">
      <c r="A3" t="s">
        <v>283</v>
      </c>
      <c r="B3" s="33">
        <v>43252</v>
      </c>
      <c r="C3" t="s">
        <v>284</v>
      </c>
      <c r="D3">
        <v>223</v>
      </c>
      <c r="E3">
        <v>457</v>
      </c>
      <c r="F3">
        <v>101911</v>
      </c>
    </row>
    <row r="4" spans="1:6">
      <c r="A4" t="s">
        <v>285</v>
      </c>
      <c r="B4" s="33">
        <v>43252</v>
      </c>
      <c r="C4" t="s">
        <v>286</v>
      </c>
      <c r="D4">
        <v>197</v>
      </c>
      <c r="E4">
        <v>284</v>
      </c>
      <c r="F4">
        <v>55948</v>
      </c>
    </row>
    <row r="5" spans="1:6">
      <c r="A5" t="s">
        <v>287</v>
      </c>
      <c r="B5" s="33">
        <v>43252</v>
      </c>
      <c r="C5" t="s">
        <v>288</v>
      </c>
      <c r="D5">
        <v>57</v>
      </c>
      <c r="E5">
        <v>159</v>
      </c>
      <c r="F5">
        <v>9063</v>
      </c>
    </row>
    <row r="6" spans="1:6">
      <c r="A6" t="s">
        <v>289</v>
      </c>
      <c r="B6" s="33">
        <v>43252</v>
      </c>
      <c r="C6" t="s">
        <v>290</v>
      </c>
      <c r="D6">
        <v>68</v>
      </c>
      <c r="E6">
        <v>138</v>
      </c>
      <c r="F6">
        <v>9384</v>
      </c>
    </row>
    <row r="7" spans="1:6">
      <c r="A7" t="s">
        <v>291</v>
      </c>
      <c r="B7" s="33">
        <v>43252</v>
      </c>
      <c r="C7" t="s">
        <v>286</v>
      </c>
      <c r="D7">
        <v>295</v>
      </c>
      <c r="E7">
        <v>80</v>
      </c>
      <c r="F7">
        <v>23600</v>
      </c>
    </row>
    <row r="8" spans="1:6">
      <c r="A8" t="s">
        <v>292</v>
      </c>
      <c r="B8" s="33">
        <v>43252</v>
      </c>
      <c r="C8" t="s">
        <v>284</v>
      </c>
      <c r="D8">
        <v>25</v>
      </c>
      <c r="E8">
        <v>77</v>
      </c>
      <c r="F8">
        <v>1925</v>
      </c>
    </row>
    <row r="9" spans="1:6">
      <c r="A9" t="s">
        <v>293</v>
      </c>
      <c r="B9" s="33">
        <v>43252</v>
      </c>
      <c r="C9" t="s">
        <v>286</v>
      </c>
      <c r="D9">
        <v>151</v>
      </c>
      <c r="E9">
        <v>163</v>
      </c>
      <c r="F9">
        <v>24613</v>
      </c>
    </row>
    <row r="10" spans="1:6">
      <c r="A10" t="s">
        <v>294</v>
      </c>
      <c r="B10" s="33">
        <v>43252</v>
      </c>
      <c r="C10" t="s">
        <v>282</v>
      </c>
      <c r="D10">
        <v>159</v>
      </c>
      <c r="E10">
        <v>63</v>
      </c>
      <c r="F10">
        <v>10017</v>
      </c>
    </row>
    <row r="11" spans="1:6">
      <c r="A11" t="s">
        <v>295</v>
      </c>
      <c r="B11" s="33">
        <v>43252</v>
      </c>
      <c r="C11" t="s">
        <v>288</v>
      </c>
      <c r="D11">
        <v>179</v>
      </c>
      <c r="E11">
        <v>151</v>
      </c>
      <c r="F11">
        <v>27029</v>
      </c>
    </row>
    <row r="12" spans="1:6">
      <c r="A12" t="s">
        <v>296</v>
      </c>
      <c r="B12" s="33">
        <v>43252</v>
      </c>
      <c r="C12" t="s">
        <v>288</v>
      </c>
      <c r="D12">
        <v>68</v>
      </c>
      <c r="E12">
        <v>138</v>
      </c>
      <c r="F12">
        <v>9384</v>
      </c>
    </row>
    <row r="13" spans="1:6">
      <c r="A13" t="s">
        <v>297</v>
      </c>
      <c r="B13" s="33">
        <v>43253</v>
      </c>
      <c r="C13" t="s">
        <v>284</v>
      </c>
      <c r="D13">
        <v>75</v>
      </c>
      <c r="E13">
        <v>29</v>
      </c>
      <c r="F13">
        <v>2175</v>
      </c>
    </row>
    <row r="14" spans="1:6">
      <c r="A14" t="s">
        <v>298</v>
      </c>
      <c r="B14" s="33">
        <v>43253</v>
      </c>
      <c r="C14" t="s">
        <v>290</v>
      </c>
      <c r="D14">
        <v>261</v>
      </c>
      <c r="E14">
        <v>178</v>
      </c>
      <c r="F14">
        <v>46458</v>
      </c>
    </row>
    <row r="15" spans="1:6">
      <c r="A15" t="s">
        <v>299</v>
      </c>
      <c r="B15" s="33">
        <v>43253</v>
      </c>
      <c r="C15" t="s">
        <v>290</v>
      </c>
      <c r="D15">
        <v>133</v>
      </c>
      <c r="E15">
        <v>353</v>
      </c>
      <c r="F15">
        <v>46949</v>
      </c>
    </row>
    <row r="16" spans="1:6">
      <c r="A16" t="s">
        <v>300</v>
      </c>
      <c r="B16" s="33">
        <v>43253</v>
      </c>
      <c r="C16" t="s">
        <v>288</v>
      </c>
      <c r="D16">
        <v>273</v>
      </c>
      <c r="E16">
        <v>257</v>
      </c>
      <c r="F16">
        <v>70161</v>
      </c>
    </row>
    <row r="17" spans="1:6">
      <c r="A17" t="s">
        <v>301</v>
      </c>
      <c r="B17" s="33">
        <v>43253</v>
      </c>
      <c r="C17" t="s">
        <v>284</v>
      </c>
      <c r="D17">
        <v>123</v>
      </c>
      <c r="E17">
        <v>23</v>
      </c>
      <c r="F17">
        <v>2829</v>
      </c>
    </row>
    <row r="18" spans="1:6">
      <c r="A18" t="s">
        <v>302</v>
      </c>
      <c r="B18" s="33">
        <v>43253</v>
      </c>
      <c r="C18" t="s">
        <v>288</v>
      </c>
      <c r="D18">
        <v>160</v>
      </c>
      <c r="E18">
        <v>477</v>
      </c>
      <c r="F18">
        <v>76320</v>
      </c>
    </row>
    <row r="19" spans="1:6">
      <c r="A19" t="s">
        <v>303</v>
      </c>
      <c r="B19" s="33">
        <v>43253</v>
      </c>
      <c r="C19" t="s">
        <v>282</v>
      </c>
      <c r="D19">
        <v>40</v>
      </c>
      <c r="E19">
        <v>367</v>
      </c>
      <c r="F19">
        <v>14680</v>
      </c>
    </row>
    <row r="20" spans="1:6">
      <c r="A20" t="s">
        <v>304</v>
      </c>
      <c r="B20" s="33">
        <v>43254</v>
      </c>
      <c r="C20" t="s">
        <v>288</v>
      </c>
      <c r="D20">
        <v>174</v>
      </c>
      <c r="E20">
        <v>361</v>
      </c>
      <c r="F20">
        <v>62814</v>
      </c>
    </row>
    <row r="21" spans="1:6">
      <c r="A21" t="s">
        <v>305</v>
      </c>
      <c r="B21" s="33">
        <v>43254</v>
      </c>
      <c r="C21" t="s">
        <v>282</v>
      </c>
      <c r="D21">
        <v>154</v>
      </c>
      <c r="E21">
        <v>21</v>
      </c>
      <c r="F21">
        <v>3234</v>
      </c>
    </row>
    <row r="22" spans="1:6">
      <c r="A22" t="s">
        <v>306</v>
      </c>
      <c r="B22" s="33">
        <v>43254</v>
      </c>
      <c r="C22" t="s">
        <v>286</v>
      </c>
      <c r="D22">
        <v>86</v>
      </c>
      <c r="E22">
        <v>473</v>
      </c>
      <c r="F22">
        <v>40678</v>
      </c>
    </row>
    <row r="23" spans="1:6">
      <c r="A23" t="s">
        <v>307</v>
      </c>
      <c r="B23" s="33">
        <v>43254</v>
      </c>
      <c r="C23" t="s">
        <v>284</v>
      </c>
      <c r="D23">
        <v>192</v>
      </c>
      <c r="E23">
        <v>52</v>
      </c>
      <c r="F23">
        <v>9984</v>
      </c>
    </row>
    <row r="24" spans="1:6">
      <c r="A24" t="s">
        <v>308</v>
      </c>
      <c r="B24" s="33">
        <v>43254</v>
      </c>
      <c r="C24" t="s">
        <v>286</v>
      </c>
      <c r="D24">
        <v>42</v>
      </c>
      <c r="E24">
        <v>82</v>
      </c>
      <c r="F24">
        <v>3444</v>
      </c>
    </row>
    <row r="25" spans="1:6">
      <c r="A25" t="s">
        <v>309</v>
      </c>
      <c r="B25" s="33">
        <v>43254</v>
      </c>
      <c r="C25" t="s">
        <v>286</v>
      </c>
      <c r="D25">
        <v>10</v>
      </c>
      <c r="E25">
        <v>384</v>
      </c>
      <c r="F25">
        <v>3840</v>
      </c>
    </row>
    <row r="26" spans="1:6">
      <c r="A26" t="s">
        <v>310</v>
      </c>
      <c r="B26" s="33">
        <v>43254</v>
      </c>
      <c r="C26" t="s">
        <v>286</v>
      </c>
      <c r="D26">
        <v>285</v>
      </c>
      <c r="E26">
        <v>127</v>
      </c>
      <c r="F26">
        <v>36195</v>
      </c>
    </row>
    <row r="27" spans="1:6">
      <c r="A27" t="s">
        <v>311</v>
      </c>
      <c r="B27" s="33">
        <v>43254</v>
      </c>
      <c r="C27" t="s">
        <v>288</v>
      </c>
      <c r="D27">
        <v>283</v>
      </c>
      <c r="E27">
        <v>453</v>
      </c>
      <c r="F27">
        <v>128199</v>
      </c>
    </row>
    <row r="28" spans="1:6">
      <c r="A28" t="s">
        <v>312</v>
      </c>
      <c r="B28" s="33">
        <v>43254</v>
      </c>
      <c r="C28" t="s">
        <v>286</v>
      </c>
      <c r="D28">
        <v>226</v>
      </c>
      <c r="E28">
        <v>46</v>
      </c>
      <c r="F28">
        <v>10396</v>
      </c>
    </row>
    <row r="29" spans="1:6">
      <c r="A29" t="s">
        <v>313</v>
      </c>
      <c r="B29" s="33">
        <v>43254</v>
      </c>
      <c r="C29" t="s">
        <v>290</v>
      </c>
      <c r="D29">
        <v>292</v>
      </c>
      <c r="E29">
        <v>58</v>
      </c>
      <c r="F29">
        <v>16936</v>
      </c>
    </row>
    <row r="30" spans="1:6">
      <c r="A30" t="s">
        <v>314</v>
      </c>
      <c r="B30" s="33">
        <v>43254</v>
      </c>
      <c r="C30" t="s">
        <v>282</v>
      </c>
      <c r="D30">
        <v>55</v>
      </c>
      <c r="E30">
        <v>313</v>
      </c>
      <c r="F30">
        <v>17215</v>
      </c>
    </row>
    <row r="31" spans="1:6">
      <c r="A31" t="s">
        <v>315</v>
      </c>
      <c r="B31" s="33">
        <v>43254</v>
      </c>
      <c r="C31" t="s">
        <v>282</v>
      </c>
      <c r="D31">
        <v>275</v>
      </c>
      <c r="E31">
        <v>373</v>
      </c>
      <c r="F31">
        <v>102575</v>
      </c>
    </row>
    <row r="32" spans="1:6">
      <c r="A32" t="s">
        <v>316</v>
      </c>
      <c r="B32" s="33">
        <v>43254</v>
      </c>
      <c r="C32" t="s">
        <v>282</v>
      </c>
      <c r="D32">
        <v>263</v>
      </c>
      <c r="E32">
        <v>133</v>
      </c>
      <c r="F32">
        <v>34979</v>
      </c>
    </row>
    <row r="33" spans="1:6">
      <c r="A33" t="s">
        <v>317</v>
      </c>
      <c r="B33" s="33">
        <v>43255</v>
      </c>
      <c r="C33" t="s">
        <v>290</v>
      </c>
      <c r="D33">
        <v>104</v>
      </c>
      <c r="E33">
        <v>182</v>
      </c>
      <c r="F33">
        <v>18928</v>
      </c>
    </row>
    <row r="34" spans="1:6">
      <c r="A34" t="s">
        <v>318</v>
      </c>
      <c r="B34" s="33">
        <v>43255</v>
      </c>
      <c r="C34" t="s">
        <v>288</v>
      </c>
      <c r="D34">
        <v>69</v>
      </c>
      <c r="E34">
        <v>316</v>
      </c>
      <c r="F34">
        <v>21804</v>
      </c>
    </row>
    <row r="35" spans="1:6">
      <c r="A35" t="s">
        <v>319</v>
      </c>
      <c r="B35" s="33">
        <v>43255</v>
      </c>
      <c r="C35" t="s">
        <v>286</v>
      </c>
      <c r="D35">
        <v>110</v>
      </c>
      <c r="E35">
        <v>34</v>
      </c>
      <c r="F35">
        <v>3740</v>
      </c>
    </row>
    <row r="36" spans="1:6">
      <c r="A36" t="s">
        <v>320</v>
      </c>
      <c r="B36" s="33">
        <v>43255</v>
      </c>
      <c r="C36" t="s">
        <v>290</v>
      </c>
      <c r="D36">
        <v>96</v>
      </c>
      <c r="E36">
        <v>157</v>
      </c>
      <c r="F36">
        <v>15072</v>
      </c>
    </row>
    <row r="37" spans="1:6">
      <c r="A37" t="s">
        <v>321</v>
      </c>
      <c r="B37" s="33">
        <v>43255</v>
      </c>
      <c r="C37" t="s">
        <v>286</v>
      </c>
      <c r="D37">
        <v>23</v>
      </c>
      <c r="E37">
        <v>357</v>
      </c>
      <c r="F37">
        <v>8211</v>
      </c>
    </row>
    <row r="38" spans="1:6">
      <c r="A38" t="s">
        <v>322</v>
      </c>
      <c r="B38" s="33">
        <v>43255</v>
      </c>
      <c r="C38" t="s">
        <v>284</v>
      </c>
      <c r="D38">
        <v>187</v>
      </c>
      <c r="E38">
        <v>41</v>
      </c>
      <c r="F38">
        <v>7667</v>
      </c>
    </row>
    <row r="39" spans="1:6">
      <c r="A39" t="s">
        <v>323</v>
      </c>
      <c r="B39" s="33">
        <v>43255</v>
      </c>
      <c r="C39" t="s">
        <v>290</v>
      </c>
      <c r="D39">
        <v>228</v>
      </c>
      <c r="E39">
        <v>467</v>
      </c>
      <c r="F39">
        <v>106476</v>
      </c>
    </row>
    <row r="40" spans="1:6">
      <c r="A40" t="s">
        <v>324</v>
      </c>
      <c r="B40" s="33">
        <v>43255</v>
      </c>
      <c r="C40" t="s">
        <v>284</v>
      </c>
      <c r="D40">
        <v>53</v>
      </c>
      <c r="E40">
        <v>68</v>
      </c>
      <c r="F40">
        <v>3604</v>
      </c>
    </row>
    <row r="41" spans="1:6">
      <c r="A41" t="s">
        <v>325</v>
      </c>
      <c r="B41" s="33">
        <v>43255</v>
      </c>
      <c r="C41" t="s">
        <v>286</v>
      </c>
      <c r="D41">
        <v>235</v>
      </c>
      <c r="E41">
        <v>51</v>
      </c>
      <c r="F41">
        <v>11985</v>
      </c>
    </row>
    <row r="42" spans="1:6">
      <c r="A42" t="s">
        <v>326</v>
      </c>
      <c r="B42" s="33">
        <v>43256</v>
      </c>
      <c r="C42" t="s">
        <v>282</v>
      </c>
      <c r="D42">
        <v>87</v>
      </c>
      <c r="E42">
        <v>359</v>
      </c>
      <c r="F42">
        <v>31233</v>
      </c>
    </row>
    <row r="43" spans="1:6">
      <c r="A43" t="s">
        <v>327</v>
      </c>
      <c r="B43" s="33">
        <v>43256</v>
      </c>
      <c r="C43" t="s">
        <v>282</v>
      </c>
      <c r="D43">
        <v>160</v>
      </c>
      <c r="E43">
        <v>37</v>
      </c>
      <c r="F43">
        <v>5920</v>
      </c>
    </row>
    <row r="44" spans="1:6">
      <c r="A44" t="s">
        <v>328</v>
      </c>
      <c r="B44" s="33">
        <v>43256</v>
      </c>
      <c r="C44" t="s">
        <v>286</v>
      </c>
      <c r="D44">
        <v>26</v>
      </c>
      <c r="E44">
        <v>48</v>
      </c>
      <c r="F44">
        <v>1248</v>
      </c>
    </row>
    <row r="45" spans="1:6">
      <c r="A45" t="s">
        <v>329</v>
      </c>
      <c r="B45" s="33">
        <v>43256</v>
      </c>
      <c r="C45" t="s">
        <v>288</v>
      </c>
      <c r="D45">
        <v>196</v>
      </c>
      <c r="E45">
        <v>370</v>
      </c>
      <c r="F45">
        <v>72520</v>
      </c>
    </row>
    <row r="46" spans="1:6">
      <c r="A46" t="s">
        <v>330</v>
      </c>
      <c r="B46" s="33">
        <v>43256</v>
      </c>
      <c r="C46" t="s">
        <v>290</v>
      </c>
      <c r="D46">
        <v>27</v>
      </c>
      <c r="E46">
        <v>98</v>
      </c>
      <c r="F46">
        <v>2646</v>
      </c>
    </row>
    <row r="47" spans="1:6">
      <c r="A47" t="s">
        <v>331</v>
      </c>
      <c r="B47" s="33">
        <v>43256</v>
      </c>
      <c r="C47" t="s">
        <v>288</v>
      </c>
      <c r="D47">
        <v>48</v>
      </c>
      <c r="E47">
        <v>35</v>
      </c>
      <c r="F47">
        <v>1680</v>
      </c>
    </row>
    <row r="48" spans="1:6">
      <c r="A48" t="s">
        <v>332</v>
      </c>
      <c r="B48" s="33">
        <v>43256</v>
      </c>
      <c r="C48" t="s">
        <v>290</v>
      </c>
      <c r="D48">
        <v>249</v>
      </c>
      <c r="E48">
        <v>335</v>
      </c>
      <c r="F48">
        <v>83415</v>
      </c>
    </row>
    <row r="49" spans="1:6">
      <c r="A49" t="s">
        <v>333</v>
      </c>
      <c r="B49" s="33">
        <v>43256</v>
      </c>
      <c r="C49" t="s">
        <v>282</v>
      </c>
      <c r="D49">
        <v>213</v>
      </c>
      <c r="E49">
        <v>121</v>
      </c>
      <c r="F49">
        <v>25773</v>
      </c>
    </row>
    <row r="50" spans="1:6">
      <c r="A50" t="s">
        <v>334</v>
      </c>
      <c r="B50" s="33">
        <v>43257</v>
      </c>
      <c r="C50" t="s">
        <v>288</v>
      </c>
      <c r="D50">
        <v>50</v>
      </c>
      <c r="E50">
        <v>125</v>
      </c>
      <c r="F50">
        <v>6250</v>
      </c>
    </row>
    <row r="51" spans="1:6">
      <c r="A51" t="s">
        <v>335</v>
      </c>
      <c r="B51" s="33">
        <v>43257</v>
      </c>
      <c r="C51" t="s">
        <v>286</v>
      </c>
      <c r="D51">
        <v>294</v>
      </c>
      <c r="E51">
        <v>106</v>
      </c>
      <c r="F51">
        <v>31164</v>
      </c>
    </row>
    <row r="52" spans="1:6">
      <c r="A52" t="s">
        <v>336</v>
      </c>
      <c r="B52" s="33">
        <v>43257</v>
      </c>
      <c r="C52" t="s">
        <v>286</v>
      </c>
      <c r="D52">
        <v>180</v>
      </c>
      <c r="E52">
        <v>126</v>
      </c>
      <c r="F52">
        <v>22680</v>
      </c>
    </row>
    <row r="53" spans="1:6">
      <c r="A53" t="s">
        <v>337</v>
      </c>
      <c r="B53" s="33">
        <v>43257</v>
      </c>
      <c r="C53" t="s">
        <v>286</v>
      </c>
      <c r="D53">
        <v>246</v>
      </c>
      <c r="E53">
        <v>489</v>
      </c>
      <c r="F53">
        <v>120294</v>
      </c>
    </row>
    <row r="54" spans="1:6">
      <c r="A54" t="s">
        <v>338</v>
      </c>
      <c r="B54" s="33">
        <v>43257</v>
      </c>
      <c r="C54" t="s">
        <v>288</v>
      </c>
      <c r="D54">
        <v>291</v>
      </c>
      <c r="E54">
        <v>284</v>
      </c>
      <c r="F54">
        <v>82644</v>
      </c>
    </row>
    <row r="55" spans="1:6">
      <c r="A55" t="s">
        <v>339</v>
      </c>
      <c r="B55" s="33">
        <v>43257</v>
      </c>
      <c r="C55" t="s">
        <v>284</v>
      </c>
      <c r="D55">
        <v>284</v>
      </c>
      <c r="E55">
        <v>435</v>
      </c>
      <c r="F55">
        <v>123540</v>
      </c>
    </row>
    <row r="56" spans="1:6">
      <c r="A56" t="s">
        <v>340</v>
      </c>
      <c r="B56" s="33">
        <v>43257</v>
      </c>
      <c r="C56" t="s">
        <v>290</v>
      </c>
      <c r="D56">
        <v>114</v>
      </c>
      <c r="E56">
        <v>34</v>
      </c>
      <c r="F56">
        <v>3876</v>
      </c>
    </row>
    <row r="57" spans="1:6">
      <c r="A57" t="s">
        <v>341</v>
      </c>
      <c r="B57" s="33">
        <v>43257</v>
      </c>
      <c r="C57" t="s">
        <v>286</v>
      </c>
      <c r="D57">
        <v>20</v>
      </c>
      <c r="E57">
        <v>59</v>
      </c>
      <c r="F57">
        <v>1180</v>
      </c>
    </row>
    <row r="58" spans="1:6">
      <c r="A58" t="s">
        <v>342</v>
      </c>
      <c r="B58" s="33">
        <v>43257</v>
      </c>
      <c r="C58" t="s">
        <v>284</v>
      </c>
      <c r="D58">
        <v>261</v>
      </c>
      <c r="E58">
        <v>48</v>
      </c>
      <c r="F58">
        <v>12528</v>
      </c>
    </row>
    <row r="59" spans="1:6">
      <c r="A59" t="s">
        <v>343</v>
      </c>
      <c r="B59" s="33">
        <v>43257</v>
      </c>
      <c r="C59" t="s">
        <v>282</v>
      </c>
      <c r="D59">
        <v>154</v>
      </c>
      <c r="E59">
        <v>311</v>
      </c>
      <c r="F59">
        <v>47894</v>
      </c>
    </row>
    <row r="60" spans="1:6">
      <c r="A60" t="s">
        <v>344</v>
      </c>
      <c r="B60" s="33">
        <v>43257</v>
      </c>
      <c r="C60" t="s">
        <v>286</v>
      </c>
      <c r="D60">
        <v>294</v>
      </c>
      <c r="E60">
        <v>487</v>
      </c>
      <c r="F60">
        <v>143178</v>
      </c>
    </row>
    <row r="61" spans="1:6">
      <c r="A61" t="s">
        <v>345</v>
      </c>
      <c r="B61" s="33">
        <v>43257</v>
      </c>
      <c r="C61" t="s">
        <v>290</v>
      </c>
      <c r="D61">
        <v>220</v>
      </c>
      <c r="E61">
        <v>15</v>
      </c>
      <c r="F61">
        <v>3300</v>
      </c>
    </row>
    <row r="62" spans="1:6">
      <c r="A62" t="s">
        <v>346</v>
      </c>
      <c r="B62" s="33">
        <v>43257</v>
      </c>
      <c r="C62" t="s">
        <v>286</v>
      </c>
      <c r="D62">
        <v>87</v>
      </c>
      <c r="E62">
        <v>98</v>
      </c>
      <c r="F62">
        <v>8526</v>
      </c>
    </row>
    <row r="63" spans="1:6">
      <c r="A63" t="s">
        <v>347</v>
      </c>
      <c r="B63" s="33">
        <v>43257</v>
      </c>
      <c r="C63" t="s">
        <v>284</v>
      </c>
      <c r="D63">
        <v>16</v>
      </c>
      <c r="E63">
        <v>300</v>
      </c>
      <c r="F63">
        <v>4800</v>
      </c>
    </row>
    <row r="64" spans="1:6">
      <c r="A64" t="s">
        <v>348</v>
      </c>
      <c r="B64" s="33">
        <v>43257</v>
      </c>
      <c r="C64" t="s">
        <v>282</v>
      </c>
      <c r="D64">
        <v>229</v>
      </c>
      <c r="E64">
        <v>61</v>
      </c>
      <c r="F64">
        <v>13969</v>
      </c>
    </row>
    <row r="65" spans="1:6">
      <c r="A65" t="s">
        <v>349</v>
      </c>
      <c r="B65" s="33">
        <v>43258</v>
      </c>
      <c r="C65" t="s">
        <v>290</v>
      </c>
      <c r="D65">
        <v>262</v>
      </c>
      <c r="E65">
        <v>32</v>
      </c>
      <c r="F65">
        <v>8384</v>
      </c>
    </row>
    <row r="66" spans="1:6">
      <c r="A66" t="s">
        <v>350</v>
      </c>
      <c r="B66" s="33">
        <v>43258</v>
      </c>
      <c r="C66" t="s">
        <v>284</v>
      </c>
      <c r="D66">
        <v>41</v>
      </c>
      <c r="E66">
        <v>57</v>
      </c>
      <c r="F66">
        <v>2337</v>
      </c>
    </row>
    <row r="67" spans="1:6">
      <c r="A67" t="s">
        <v>351</v>
      </c>
      <c r="B67" s="33">
        <v>43258</v>
      </c>
      <c r="C67" t="s">
        <v>290</v>
      </c>
      <c r="D67">
        <v>80</v>
      </c>
      <c r="E67">
        <v>492</v>
      </c>
      <c r="F67">
        <v>39360</v>
      </c>
    </row>
    <row r="68" spans="1:6">
      <c r="A68" t="s">
        <v>352</v>
      </c>
      <c r="B68" s="33">
        <v>43258</v>
      </c>
      <c r="C68" t="s">
        <v>288</v>
      </c>
      <c r="D68">
        <v>208</v>
      </c>
      <c r="E68">
        <v>370</v>
      </c>
      <c r="F68">
        <v>76960</v>
      </c>
    </row>
    <row r="69" spans="1:6">
      <c r="A69" t="s">
        <v>353</v>
      </c>
      <c r="B69" s="33">
        <v>43258</v>
      </c>
      <c r="C69" t="s">
        <v>282</v>
      </c>
      <c r="D69">
        <v>245</v>
      </c>
      <c r="E69">
        <v>29</v>
      </c>
      <c r="F69">
        <v>7105</v>
      </c>
    </row>
    <row r="70" spans="1:6">
      <c r="A70" t="s">
        <v>354</v>
      </c>
      <c r="B70" s="33">
        <v>43258</v>
      </c>
      <c r="C70" t="s">
        <v>290</v>
      </c>
      <c r="D70">
        <v>266</v>
      </c>
      <c r="E70">
        <v>280</v>
      </c>
      <c r="F70">
        <v>74480</v>
      </c>
    </row>
    <row r="71" spans="1:6">
      <c r="A71" t="s">
        <v>355</v>
      </c>
      <c r="B71" s="33">
        <v>43258</v>
      </c>
      <c r="C71" t="s">
        <v>286</v>
      </c>
      <c r="D71">
        <v>204</v>
      </c>
      <c r="E71">
        <v>10</v>
      </c>
      <c r="F71">
        <v>2040</v>
      </c>
    </row>
    <row r="72" spans="1:6">
      <c r="A72" t="s">
        <v>356</v>
      </c>
      <c r="B72" s="33">
        <v>43258</v>
      </c>
      <c r="C72" t="s">
        <v>290</v>
      </c>
      <c r="D72">
        <v>119</v>
      </c>
      <c r="E72">
        <v>338</v>
      </c>
      <c r="F72">
        <v>40222</v>
      </c>
    </row>
    <row r="73" spans="1:6">
      <c r="A73" t="s">
        <v>357</v>
      </c>
      <c r="B73" s="33">
        <v>43258</v>
      </c>
      <c r="C73" t="s">
        <v>284</v>
      </c>
      <c r="D73">
        <v>180</v>
      </c>
      <c r="E73">
        <v>316</v>
      </c>
      <c r="F73">
        <v>56880</v>
      </c>
    </row>
    <row r="74" spans="1:6">
      <c r="A74" t="s">
        <v>358</v>
      </c>
      <c r="B74" s="33">
        <v>43258</v>
      </c>
      <c r="C74" t="s">
        <v>286</v>
      </c>
      <c r="D74">
        <v>229</v>
      </c>
      <c r="E74">
        <v>218</v>
      </c>
      <c r="F74">
        <v>49922</v>
      </c>
    </row>
    <row r="75" spans="1:6">
      <c r="A75" t="s">
        <v>359</v>
      </c>
      <c r="B75" s="33">
        <v>43258</v>
      </c>
      <c r="C75" t="s">
        <v>286</v>
      </c>
      <c r="D75">
        <v>11</v>
      </c>
      <c r="E75">
        <v>336</v>
      </c>
      <c r="F75">
        <v>3696</v>
      </c>
    </row>
    <row r="76" spans="1:6">
      <c r="A76" t="s">
        <v>360</v>
      </c>
      <c r="B76" s="33">
        <v>43258</v>
      </c>
      <c r="C76" t="s">
        <v>284</v>
      </c>
      <c r="D76">
        <v>51</v>
      </c>
      <c r="E76">
        <v>345</v>
      </c>
      <c r="F76">
        <v>17595</v>
      </c>
    </row>
    <row r="77" spans="1:6">
      <c r="A77" t="s">
        <v>361</v>
      </c>
      <c r="B77" s="33">
        <v>43258</v>
      </c>
      <c r="C77" t="s">
        <v>282</v>
      </c>
      <c r="D77">
        <v>153</v>
      </c>
      <c r="E77">
        <v>404</v>
      </c>
      <c r="F77">
        <v>61812</v>
      </c>
    </row>
    <row r="78" spans="1:6">
      <c r="A78" t="s">
        <v>362</v>
      </c>
      <c r="B78" s="33">
        <v>43259</v>
      </c>
      <c r="C78" t="s">
        <v>286</v>
      </c>
      <c r="D78">
        <v>42</v>
      </c>
      <c r="E78">
        <v>374</v>
      </c>
      <c r="F78">
        <v>15708</v>
      </c>
    </row>
    <row r="79" spans="1:6">
      <c r="A79" t="s">
        <v>363</v>
      </c>
      <c r="B79" s="33">
        <v>43259</v>
      </c>
      <c r="C79" t="s">
        <v>282</v>
      </c>
      <c r="D79">
        <v>54</v>
      </c>
      <c r="E79">
        <v>390</v>
      </c>
      <c r="F79">
        <v>21060</v>
      </c>
    </row>
    <row r="80" spans="1:6">
      <c r="A80" t="s">
        <v>364</v>
      </c>
      <c r="B80" s="33">
        <v>43259</v>
      </c>
      <c r="C80" t="s">
        <v>286</v>
      </c>
      <c r="D80">
        <v>122</v>
      </c>
      <c r="E80">
        <v>320</v>
      </c>
      <c r="F80">
        <v>39040</v>
      </c>
    </row>
    <row r="81" spans="1:6">
      <c r="A81" t="s">
        <v>365</v>
      </c>
      <c r="B81" s="33">
        <v>43259</v>
      </c>
      <c r="C81" t="s">
        <v>286</v>
      </c>
      <c r="D81">
        <v>99</v>
      </c>
      <c r="E81">
        <v>336</v>
      </c>
      <c r="F81">
        <v>33264</v>
      </c>
    </row>
    <row r="82" spans="1:6">
      <c r="A82" t="s">
        <v>366</v>
      </c>
      <c r="B82" s="33">
        <v>43259</v>
      </c>
      <c r="C82" t="s">
        <v>286</v>
      </c>
      <c r="D82">
        <v>69</v>
      </c>
      <c r="E82">
        <v>361</v>
      </c>
      <c r="F82">
        <v>24909</v>
      </c>
    </row>
    <row r="83" spans="1:6">
      <c r="A83" t="s">
        <v>367</v>
      </c>
      <c r="B83" s="33">
        <v>43259</v>
      </c>
      <c r="C83" t="s">
        <v>288</v>
      </c>
      <c r="D83">
        <v>193</v>
      </c>
      <c r="E83">
        <v>252</v>
      </c>
      <c r="F83">
        <v>48636</v>
      </c>
    </row>
    <row r="84" spans="1:6">
      <c r="A84" t="s">
        <v>368</v>
      </c>
      <c r="B84" s="33">
        <v>43259</v>
      </c>
      <c r="C84" t="s">
        <v>286</v>
      </c>
      <c r="D84">
        <v>146</v>
      </c>
      <c r="E84">
        <v>31</v>
      </c>
      <c r="F84">
        <v>4526</v>
      </c>
    </row>
    <row r="85" spans="1:6">
      <c r="A85" t="s">
        <v>369</v>
      </c>
      <c r="B85" s="33">
        <v>43259</v>
      </c>
      <c r="C85" t="s">
        <v>288</v>
      </c>
      <c r="D85">
        <v>148</v>
      </c>
      <c r="E85">
        <v>147</v>
      </c>
      <c r="F85">
        <v>21756</v>
      </c>
    </row>
    <row r="86" spans="1:6">
      <c r="A86" t="s">
        <v>370</v>
      </c>
      <c r="B86" s="33">
        <v>43259</v>
      </c>
      <c r="C86" t="s">
        <v>286</v>
      </c>
      <c r="D86">
        <v>203</v>
      </c>
      <c r="E86">
        <v>270</v>
      </c>
      <c r="F86">
        <v>54810</v>
      </c>
    </row>
    <row r="87" spans="1:6">
      <c r="A87" t="s">
        <v>371</v>
      </c>
      <c r="B87" s="33">
        <v>43259</v>
      </c>
      <c r="C87" t="s">
        <v>288</v>
      </c>
      <c r="D87">
        <v>136</v>
      </c>
      <c r="E87">
        <v>498</v>
      </c>
      <c r="F87">
        <v>67728</v>
      </c>
    </row>
    <row r="88" spans="1:6">
      <c r="A88" t="s">
        <v>372</v>
      </c>
      <c r="B88" s="33">
        <v>43259</v>
      </c>
      <c r="C88" t="s">
        <v>288</v>
      </c>
      <c r="D88">
        <v>177</v>
      </c>
      <c r="E88">
        <v>221</v>
      </c>
      <c r="F88">
        <v>39117</v>
      </c>
    </row>
    <row r="89" spans="1:6">
      <c r="A89" t="s">
        <v>373</v>
      </c>
      <c r="B89" s="33">
        <v>43260</v>
      </c>
      <c r="C89" t="s">
        <v>284</v>
      </c>
      <c r="D89">
        <v>285</v>
      </c>
      <c r="E89">
        <v>20</v>
      </c>
      <c r="F89">
        <v>5700</v>
      </c>
    </row>
    <row r="90" spans="1:6">
      <c r="A90" t="s">
        <v>374</v>
      </c>
      <c r="B90" s="33">
        <v>43260</v>
      </c>
      <c r="C90" t="s">
        <v>290</v>
      </c>
      <c r="D90">
        <v>285</v>
      </c>
      <c r="E90">
        <v>459</v>
      </c>
      <c r="F90">
        <v>130815</v>
      </c>
    </row>
    <row r="91" spans="1:6">
      <c r="A91" t="s">
        <v>375</v>
      </c>
      <c r="B91" s="33">
        <v>43260</v>
      </c>
      <c r="C91" t="s">
        <v>290</v>
      </c>
      <c r="D91">
        <v>70</v>
      </c>
      <c r="E91">
        <v>42</v>
      </c>
      <c r="F91">
        <v>2940</v>
      </c>
    </row>
    <row r="92" spans="1:6">
      <c r="A92" t="s">
        <v>376</v>
      </c>
      <c r="B92" s="33">
        <v>43260</v>
      </c>
      <c r="C92" t="s">
        <v>286</v>
      </c>
      <c r="D92">
        <v>213</v>
      </c>
      <c r="E92">
        <v>279</v>
      </c>
      <c r="F92">
        <v>59427</v>
      </c>
    </row>
    <row r="93" spans="1:6">
      <c r="A93" t="s">
        <v>377</v>
      </c>
      <c r="B93" s="33">
        <v>43260</v>
      </c>
      <c r="C93" t="s">
        <v>282</v>
      </c>
      <c r="D93">
        <v>269</v>
      </c>
      <c r="E93">
        <v>176</v>
      </c>
      <c r="F93">
        <v>47344</v>
      </c>
    </row>
    <row r="94" spans="1:6">
      <c r="A94" t="s">
        <v>378</v>
      </c>
      <c r="B94" s="33">
        <v>43260</v>
      </c>
      <c r="C94" t="s">
        <v>286</v>
      </c>
      <c r="D94">
        <v>107</v>
      </c>
      <c r="E94">
        <v>59</v>
      </c>
      <c r="F94">
        <v>6313</v>
      </c>
    </row>
    <row r="95" spans="1:6">
      <c r="A95" t="s">
        <v>379</v>
      </c>
      <c r="B95" s="33">
        <v>43261</v>
      </c>
      <c r="C95" t="s">
        <v>282</v>
      </c>
      <c r="D95">
        <v>134</v>
      </c>
      <c r="E95">
        <v>406</v>
      </c>
      <c r="F95">
        <v>54404</v>
      </c>
    </row>
    <row r="96" spans="1:6">
      <c r="A96" t="s">
        <v>380</v>
      </c>
      <c r="B96" s="33">
        <v>43261</v>
      </c>
      <c r="C96" t="s">
        <v>286</v>
      </c>
      <c r="D96">
        <v>283</v>
      </c>
      <c r="E96">
        <v>340</v>
      </c>
      <c r="F96">
        <v>96220</v>
      </c>
    </row>
    <row r="97" spans="1:6">
      <c r="A97" t="s">
        <v>381</v>
      </c>
      <c r="B97" s="33">
        <v>43261</v>
      </c>
      <c r="C97" t="s">
        <v>286</v>
      </c>
      <c r="D97">
        <v>102</v>
      </c>
      <c r="E97">
        <v>41</v>
      </c>
      <c r="F97">
        <v>4182</v>
      </c>
    </row>
    <row r="98" spans="1:6">
      <c r="A98" t="s">
        <v>382</v>
      </c>
      <c r="B98" s="33">
        <v>43261</v>
      </c>
      <c r="C98" t="s">
        <v>282</v>
      </c>
      <c r="D98">
        <v>109</v>
      </c>
      <c r="E98">
        <v>37</v>
      </c>
      <c r="F98">
        <v>4033</v>
      </c>
    </row>
    <row r="99" spans="1:6">
      <c r="A99" t="s">
        <v>383</v>
      </c>
      <c r="B99" s="33">
        <v>43261</v>
      </c>
      <c r="C99" t="s">
        <v>288</v>
      </c>
      <c r="D99">
        <v>242</v>
      </c>
      <c r="E99">
        <v>243</v>
      </c>
      <c r="F99">
        <v>58806</v>
      </c>
    </row>
    <row r="100" spans="1:6">
      <c r="A100" t="s">
        <v>384</v>
      </c>
      <c r="B100" s="33">
        <v>43261</v>
      </c>
      <c r="C100" t="s">
        <v>284</v>
      </c>
      <c r="D100">
        <v>146</v>
      </c>
      <c r="E100">
        <v>166</v>
      </c>
      <c r="F100">
        <v>24236</v>
      </c>
    </row>
    <row r="101" spans="1:6">
      <c r="A101" t="s">
        <v>385</v>
      </c>
      <c r="B101" s="33">
        <v>43261</v>
      </c>
      <c r="C101" t="s">
        <v>282</v>
      </c>
      <c r="D101">
        <v>160</v>
      </c>
      <c r="E101">
        <v>71</v>
      </c>
      <c r="F101">
        <v>11360</v>
      </c>
    </row>
    <row r="102" spans="1:6">
      <c r="A102" t="s">
        <v>386</v>
      </c>
      <c r="B102" s="33">
        <v>43261</v>
      </c>
      <c r="C102" t="s">
        <v>288</v>
      </c>
      <c r="D102">
        <v>140</v>
      </c>
      <c r="E102">
        <v>168</v>
      </c>
      <c r="F102">
        <v>23520</v>
      </c>
    </row>
    <row r="103" spans="1:6">
      <c r="A103" t="s">
        <v>387</v>
      </c>
      <c r="B103" s="33">
        <v>43261</v>
      </c>
      <c r="C103" t="s">
        <v>288</v>
      </c>
      <c r="D103">
        <v>274</v>
      </c>
      <c r="E103">
        <v>340</v>
      </c>
      <c r="F103">
        <v>93160</v>
      </c>
    </row>
    <row r="104" spans="1:6">
      <c r="A104" t="s">
        <v>388</v>
      </c>
      <c r="B104" s="33">
        <v>43261</v>
      </c>
      <c r="C104" t="s">
        <v>290</v>
      </c>
      <c r="D104">
        <v>154</v>
      </c>
      <c r="E104">
        <v>419</v>
      </c>
      <c r="F104">
        <v>64526</v>
      </c>
    </row>
    <row r="105" spans="1:6">
      <c r="A105" t="s">
        <v>389</v>
      </c>
      <c r="B105" s="33">
        <v>43261</v>
      </c>
      <c r="C105" t="s">
        <v>288</v>
      </c>
      <c r="D105">
        <v>74</v>
      </c>
      <c r="E105">
        <v>437</v>
      </c>
      <c r="F105">
        <v>32338</v>
      </c>
    </row>
    <row r="106" spans="1:6">
      <c r="A106" t="s">
        <v>390</v>
      </c>
      <c r="B106" s="33">
        <v>43261</v>
      </c>
      <c r="C106" t="s">
        <v>284</v>
      </c>
      <c r="D106">
        <v>251</v>
      </c>
      <c r="E106">
        <v>16</v>
      </c>
      <c r="F106">
        <v>4016</v>
      </c>
    </row>
    <row r="107" spans="1:6">
      <c r="A107" t="s">
        <v>391</v>
      </c>
      <c r="B107" s="33">
        <v>43261</v>
      </c>
      <c r="C107" t="s">
        <v>286</v>
      </c>
      <c r="D107">
        <v>252</v>
      </c>
      <c r="E107">
        <v>99</v>
      </c>
      <c r="F107">
        <v>24948</v>
      </c>
    </row>
    <row r="108" spans="1:6">
      <c r="A108" t="s">
        <v>392</v>
      </c>
      <c r="B108" s="33">
        <v>43261</v>
      </c>
      <c r="C108" t="s">
        <v>288</v>
      </c>
      <c r="D108">
        <v>92</v>
      </c>
      <c r="E108">
        <v>385</v>
      </c>
      <c r="F108">
        <v>35420</v>
      </c>
    </row>
    <row r="109" spans="1:6">
      <c r="A109" t="s">
        <v>393</v>
      </c>
      <c r="B109" s="33">
        <v>43261</v>
      </c>
      <c r="C109" t="s">
        <v>284</v>
      </c>
      <c r="D109">
        <v>79</v>
      </c>
      <c r="E109">
        <v>482</v>
      </c>
      <c r="F109">
        <v>38078</v>
      </c>
    </row>
    <row r="110" spans="1:6">
      <c r="A110" t="s">
        <v>394</v>
      </c>
      <c r="B110" s="33">
        <v>43261</v>
      </c>
      <c r="C110" t="s">
        <v>282</v>
      </c>
      <c r="D110">
        <v>256</v>
      </c>
      <c r="E110">
        <v>254</v>
      </c>
      <c r="F110">
        <v>65024</v>
      </c>
    </row>
    <row r="111" spans="1:6">
      <c r="A111" t="s">
        <v>395</v>
      </c>
      <c r="B111" s="33">
        <v>43261</v>
      </c>
      <c r="C111" t="s">
        <v>284</v>
      </c>
      <c r="D111">
        <v>122</v>
      </c>
      <c r="E111">
        <v>262</v>
      </c>
      <c r="F111">
        <v>31964</v>
      </c>
    </row>
    <row r="112" spans="1:6">
      <c r="A112" t="s">
        <v>396</v>
      </c>
      <c r="B112" s="33">
        <v>43261</v>
      </c>
      <c r="C112" t="s">
        <v>286</v>
      </c>
      <c r="D112">
        <v>128</v>
      </c>
      <c r="E112">
        <v>368</v>
      </c>
      <c r="F112">
        <v>47104</v>
      </c>
    </row>
    <row r="113" spans="1:6">
      <c r="A113" t="s">
        <v>397</v>
      </c>
      <c r="B113" s="33">
        <v>43261</v>
      </c>
      <c r="C113" t="s">
        <v>282</v>
      </c>
      <c r="D113">
        <v>196</v>
      </c>
      <c r="E113">
        <v>379</v>
      </c>
      <c r="F113">
        <v>74284</v>
      </c>
    </row>
    <row r="114" spans="1:6">
      <c r="A114" t="s">
        <v>398</v>
      </c>
      <c r="B114" s="33">
        <v>43262</v>
      </c>
      <c r="C114" t="s">
        <v>282</v>
      </c>
      <c r="D114">
        <v>16</v>
      </c>
      <c r="E114">
        <v>346</v>
      </c>
      <c r="F114">
        <v>5536</v>
      </c>
    </row>
    <row r="115" spans="1:6">
      <c r="A115" t="s">
        <v>399</v>
      </c>
      <c r="B115" s="33">
        <v>43262</v>
      </c>
      <c r="C115" t="s">
        <v>282</v>
      </c>
      <c r="D115">
        <v>220</v>
      </c>
      <c r="E115">
        <v>285</v>
      </c>
      <c r="F115">
        <v>62700</v>
      </c>
    </row>
    <row r="116" spans="1:6">
      <c r="A116" t="s">
        <v>400</v>
      </c>
      <c r="B116" s="33">
        <v>43262</v>
      </c>
      <c r="C116" t="s">
        <v>290</v>
      </c>
      <c r="D116">
        <v>29</v>
      </c>
      <c r="E116">
        <v>111</v>
      </c>
      <c r="F116">
        <v>3219</v>
      </c>
    </row>
    <row r="117" spans="1:6">
      <c r="A117" t="s">
        <v>401</v>
      </c>
      <c r="B117" s="33">
        <v>43262</v>
      </c>
      <c r="C117" t="s">
        <v>282</v>
      </c>
      <c r="D117">
        <v>143</v>
      </c>
      <c r="E117">
        <v>92</v>
      </c>
      <c r="F117">
        <v>13156</v>
      </c>
    </row>
    <row r="118" spans="1:6">
      <c r="A118" t="s">
        <v>402</v>
      </c>
      <c r="B118" s="33">
        <v>43262</v>
      </c>
      <c r="C118" t="s">
        <v>286</v>
      </c>
      <c r="D118">
        <v>269</v>
      </c>
      <c r="E118">
        <v>63</v>
      </c>
      <c r="F118">
        <v>16947</v>
      </c>
    </row>
    <row r="119" spans="1:6">
      <c r="A119" t="s">
        <v>403</v>
      </c>
      <c r="B119" s="33">
        <v>43262</v>
      </c>
      <c r="C119" t="s">
        <v>290</v>
      </c>
      <c r="D119">
        <v>58</v>
      </c>
      <c r="E119">
        <v>498</v>
      </c>
      <c r="F119">
        <v>28884</v>
      </c>
    </row>
    <row r="120" spans="1:6">
      <c r="A120" t="s">
        <v>404</v>
      </c>
      <c r="B120" s="33">
        <v>43262</v>
      </c>
      <c r="C120" t="s">
        <v>284</v>
      </c>
      <c r="D120">
        <v>247</v>
      </c>
      <c r="E120">
        <v>372</v>
      </c>
      <c r="F120">
        <v>91884</v>
      </c>
    </row>
    <row r="121" spans="1:6">
      <c r="A121" t="s">
        <v>405</v>
      </c>
      <c r="B121" s="33">
        <v>43263</v>
      </c>
      <c r="C121" t="s">
        <v>286</v>
      </c>
      <c r="D121">
        <v>203</v>
      </c>
      <c r="E121">
        <v>293</v>
      </c>
      <c r="F121">
        <v>59479</v>
      </c>
    </row>
    <row r="122" spans="1:6">
      <c r="A122" t="s">
        <v>406</v>
      </c>
      <c r="B122" s="33">
        <v>43263</v>
      </c>
      <c r="C122" t="s">
        <v>284</v>
      </c>
      <c r="D122">
        <v>144</v>
      </c>
      <c r="E122">
        <v>168</v>
      </c>
      <c r="F122">
        <v>24192</v>
      </c>
    </row>
    <row r="123" spans="1:6">
      <c r="A123" t="s">
        <v>407</v>
      </c>
      <c r="B123" s="33">
        <v>43263</v>
      </c>
      <c r="C123" t="s">
        <v>282</v>
      </c>
      <c r="D123">
        <v>66</v>
      </c>
      <c r="E123">
        <v>221</v>
      </c>
      <c r="F123">
        <v>14586</v>
      </c>
    </row>
    <row r="124" spans="1:6">
      <c r="A124" t="s">
        <v>408</v>
      </c>
      <c r="B124" s="33">
        <v>43263</v>
      </c>
      <c r="C124" t="s">
        <v>286</v>
      </c>
      <c r="D124">
        <v>246</v>
      </c>
      <c r="E124">
        <v>50</v>
      </c>
      <c r="F124">
        <v>12300</v>
      </c>
    </row>
    <row r="125" spans="1:6">
      <c r="A125" t="s">
        <v>409</v>
      </c>
      <c r="B125" s="33">
        <v>43263</v>
      </c>
      <c r="C125" t="s">
        <v>290</v>
      </c>
      <c r="D125">
        <v>110</v>
      </c>
      <c r="E125">
        <v>460</v>
      </c>
      <c r="F125">
        <v>50600</v>
      </c>
    </row>
    <row r="126" spans="1:6">
      <c r="A126" t="s">
        <v>410</v>
      </c>
      <c r="B126" s="33">
        <v>43263</v>
      </c>
      <c r="C126" t="s">
        <v>282</v>
      </c>
      <c r="D126">
        <v>157</v>
      </c>
      <c r="E126">
        <v>222</v>
      </c>
      <c r="F126">
        <v>34854</v>
      </c>
    </row>
    <row r="127" spans="1:6">
      <c r="A127" t="s">
        <v>411</v>
      </c>
      <c r="B127" s="33">
        <v>43263</v>
      </c>
      <c r="C127" t="s">
        <v>286</v>
      </c>
      <c r="D127">
        <v>262</v>
      </c>
      <c r="E127">
        <v>174</v>
      </c>
      <c r="F127">
        <v>45588</v>
      </c>
    </row>
    <row r="128" spans="1:6">
      <c r="A128" t="s">
        <v>412</v>
      </c>
      <c r="B128" s="33">
        <v>43264</v>
      </c>
      <c r="C128" t="s">
        <v>288</v>
      </c>
      <c r="D128">
        <v>65</v>
      </c>
      <c r="E128">
        <v>434</v>
      </c>
      <c r="F128">
        <v>28210</v>
      </c>
    </row>
    <row r="129" spans="1:6">
      <c r="A129" t="s">
        <v>413</v>
      </c>
      <c r="B129" s="33">
        <v>43264</v>
      </c>
      <c r="C129" t="s">
        <v>288</v>
      </c>
      <c r="D129">
        <v>11</v>
      </c>
      <c r="E129">
        <v>406</v>
      </c>
      <c r="F129">
        <v>4466</v>
      </c>
    </row>
    <row r="130" spans="1:6">
      <c r="A130" t="s">
        <v>414</v>
      </c>
      <c r="B130" s="33">
        <v>43264</v>
      </c>
      <c r="C130" t="s">
        <v>288</v>
      </c>
      <c r="D130">
        <v>17</v>
      </c>
      <c r="E130">
        <v>386</v>
      </c>
      <c r="F130">
        <v>6562</v>
      </c>
    </row>
    <row r="131" spans="1:6">
      <c r="A131" t="s">
        <v>415</v>
      </c>
      <c r="B131" s="33">
        <v>43264</v>
      </c>
      <c r="C131" t="s">
        <v>284</v>
      </c>
      <c r="D131">
        <v>101</v>
      </c>
      <c r="E131">
        <v>346</v>
      </c>
      <c r="F131">
        <v>34946</v>
      </c>
    </row>
    <row r="132" spans="1:6">
      <c r="A132" t="s">
        <v>416</v>
      </c>
      <c r="B132" s="33">
        <v>43264</v>
      </c>
      <c r="C132" t="s">
        <v>282</v>
      </c>
      <c r="D132">
        <v>158</v>
      </c>
      <c r="E132">
        <v>437</v>
      </c>
      <c r="F132">
        <v>69046</v>
      </c>
    </row>
    <row r="133" spans="1:6">
      <c r="A133" t="s">
        <v>417</v>
      </c>
      <c r="B133" s="33">
        <v>43264</v>
      </c>
      <c r="C133" t="s">
        <v>284</v>
      </c>
      <c r="D133">
        <v>96</v>
      </c>
      <c r="E133">
        <v>473</v>
      </c>
      <c r="F133">
        <v>45408</v>
      </c>
    </row>
    <row r="134" spans="1:6">
      <c r="A134" t="s">
        <v>418</v>
      </c>
      <c r="B134" s="33">
        <v>43264</v>
      </c>
      <c r="C134" t="s">
        <v>288</v>
      </c>
      <c r="D134">
        <v>260</v>
      </c>
      <c r="E134">
        <v>423</v>
      </c>
      <c r="F134">
        <v>109980</v>
      </c>
    </row>
    <row r="135" spans="1:6">
      <c r="A135" t="s">
        <v>419</v>
      </c>
      <c r="B135" s="33">
        <v>43264</v>
      </c>
      <c r="C135" t="s">
        <v>286</v>
      </c>
      <c r="D135">
        <v>187</v>
      </c>
      <c r="E135">
        <v>15</v>
      </c>
      <c r="F135">
        <v>2805</v>
      </c>
    </row>
    <row r="136" spans="1:6">
      <c r="A136" t="s">
        <v>420</v>
      </c>
      <c r="B136" s="33">
        <v>43264</v>
      </c>
      <c r="C136" t="s">
        <v>282</v>
      </c>
      <c r="D136">
        <v>209</v>
      </c>
      <c r="E136">
        <v>74</v>
      </c>
      <c r="F136">
        <v>15466</v>
      </c>
    </row>
    <row r="137" spans="1:6">
      <c r="A137" t="s">
        <v>421</v>
      </c>
      <c r="B137" s="33">
        <v>43264</v>
      </c>
      <c r="C137" t="s">
        <v>290</v>
      </c>
      <c r="D137">
        <v>284</v>
      </c>
      <c r="E137">
        <v>75</v>
      </c>
      <c r="F137">
        <v>21300</v>
      </c>
    </row>
    <row r="138" spans="1:6">
      <c r="A138" t="s">
        <v>422</v>
      </c>
      <c r="B138" s="33">
        <v>43265</v>
      </c>
      <c r="C138" t="s">
        <v>286</v>
      </c>
      <c r="D138">
        <v>215</v>
      </c>
      <c r="E138">
        <v>54</v>
      </c>
      <c r="F138">
        <v>11610</v>
      </c>
    </row>
    <row r="139" spans="1:6">
      <c r="A139" t="s">
        <v>423</v>
      </c>
      <c r="B139" s="33">
        <v>43265</v>
      </c>
      <c r="C139" t="s">
        <v>286</v>
      </c>
      <c r="D139">
        <v>279</v>
      </c>
      <c r="E139">
        <v>352</v>
      </c>
      <c r="F139">
        <v>98208</v>
      </c>
    </row>
    <row r="140" spans="1:6">
      <c r="A140" t="s">
        <v>424</v>
      </c>
      <c r="B140" s="33">
        <v>43265</v>
      </c>
      <c r="C140" t="s">
        <v>288</v>
      </c>
      <c r="D140">
        <v>175</v>
      </c>
      <c r="E140">
        <v>249</v>
      </c>
      <c r="F140">
        <v>43575</v>
      </c>
    </row>
    <row r="141" spans="1:6">
      <c r="A141" t="s">
        <v>425</v>
      </c>
      <c r="B141" s="33">
        <v>43265</v>
      </c>
      <c r="C141" t="s">
        <v>284</v>
      </c>
      <c r="D141">
        <v>172</v>
      </c>
      <c r="E141">
        <v>59</v>
      </c>
      <c r="F141">
        <v>10148</v>
      </c>
    </row>
    <row r="142" spans="1:6">
      <c r="A142" t="s">
        <v>426</v>
      </c>
      <c r="B142" s="33">
        <v>43265</v>
      </c>
      <c r="C142" t="s">
        <v>288</v>
      </c>
      <c r="D142">
        <v>296</v>
      </c>
      <c r="E142">
        <v>242</v>
      </c>
      <c r="F142">
        <v>71632</v>
      </c>
    </row>
    <row r="143" spans="1:6">
      <c r="A143" t="s">
        <v>427</v>
      </c>
      <c r="B143" s="33">
        <v>43265</v>
      </c>
      <c r="C143" t="s">
        <v>290</v>
      </c>
      <c r="D143">
        <v>60</v>
      </c>
      <c r="E143">
        <v>89</v>
      </c>
      <c r="F143">
        <v>5340</v>
      </c>
    </row>
    <row r="144" spans="1:6">
      <c r="A144" t="s">
        <v>428</v>
      </c>
      <c r="B144" s="33">
        <v>43265</v>
      </c>
      <c r="C144" t="s">
        <v>290</v>
      </c>
      <c r="D144">
        <v>162</v>
      </c>
      <c r="E144">
        <v>401</v>
      </c>
      <c r="F144">
        <v>64962</v>
      </c>
    </row>
    <row r="145" spans="1:6">
      <c r="A145" t="s">
        <v>429</v>
      </c>
      <c r="B145" s="33">
        <v>43265</v>
      </c>
      <c r="C145" t="s">
        <v>282</v>
      </c>
      <c r="D145">
        <v>40</v>
      </c>
      <c r="E145">
        <v>14</v>
      </c>
      <c r="F145">
        <v>560</v>
      </c>
    </row>
    <row r="146" spans="1:6">
      <c r="A146" t="s">
        <v>430</v>
      </c>
      <c r="B146" s="33">
        <v>43265</v>
      </c>
      <c r="C146" t="s">
        <v>288</v>
      </c>
      <c r="D146">
        <v>228</v>
      </c>
      <c r="E146">
        <v>338</v>
      </c>
      <c r="F146">
        <v>77064</v>
      </c>
    </row>
    <row r="147" spans="1:6">
      <c r="A147" t="s">
        <v>431</v>
      </c>
      <c r="B147" s="33">
        <v>43265</v>
      </c>
      <c r="C147" t="s">
        <v>286</v>
      </c>
      <c r="D147">
        <v>61</v>
      </c>
      <c r="E147">
        <v>29</v>
      </c>
      <c r="F147">
        <v>1769</v>
      </c>
    </row>
    <row r="148" spans="1:6">
      <c r="A148" t="s">
        <v>432</v>
      </c>
      <c r="B148" s="33">
        <v>43265</v>
      </c>
      <c r="C148" t="s">
        <v>282</v>
      </c>
      <c r="D148">
        <v>208</v>
      </c>
      <c r="E148">
        <v>4</v>
      </c>
      <c r="F148">
        <v>832</v>
      </c>
    </row>
    <row r="149" spans="1:6">
      <c r="A149" t="s">
        <v>433</v>
      </c>
      <c r="B149" s="33">
        <v>43266</v>
      </c>
      <c r="C149" t="s">
        <v>282</v>
      </c>
      <c r="D149">
        <v>50</v>
      </c>
      <c r="E149">
        <v>368</v>
      </c>
      <c r="F149">
        <v>18400</v>
      </c>
    </row>
    <row r="150" spans="1:6">
      <c r="A150" t="s">
        <v>434</v>
      </c>
      <c r="B150" s="33">
        <v>43266</v>
      </c>
      <c r="C150" t="s">
        <v>284</v>
      </c>
      <c r="D150">
        <v>241</v>
      </c>
      <c r="E150">
        <v>317</v>
      </c>
      <c r="F150">
        <v>76397</v>
      </c>
    </row>
    <row r="151" spans="1:6">
      <c r="A151" t="s">
        <v>435</v>
      </c>
      <c r="B151" s="33">
        <v>43266</v>
      </c>
      <c r="C151" t="s">
        <v>288</v>
      </c>
      <c r="D151">
        <v>300</v>
      </c>
      <c r="E151">
        <v>151</v>
      </c>
      <c r="F151">
        <v>45300</v>
      </c>
    </row>
    <row r="152" spans="1:6">
      <c r="A152" t="s">
        <v>436</v>
      </c>
      <c r="B152" s="33">
        <v>43266</v>
      </c>
      <c r="C152" t="s">
        <v>288</v>
      </c>
      <c r="D152">
        <v>51</v>
      </c>
      <c r="E152">
        <v>202</v>
      </c>
      <c r="F152">
        <v>10302</v>
      </c>
    </row>
    <row r="153" spans="1:6">
      <c r="A153" t="s">
        <v>437</v>
      </c>
      <c r="B153" s="33">
        <v>43266</v>
      </c>
      <c r="C153" t="s">
        <v>284</v>
      </c>
      <c r="D153">
        <v>83</v>
      </c>
      <c r="E153">
        <v>489</v>
      </c>
      <c r="F153">
        <v>40587</v>
      </c>
    </row>
    <row r="154" spans="1:6">
      <c r="A154" t="s">
        <v>438</v>
      </c>
      <c r="B154" s="33">
        <v>43266</v>
      </c>
      <c r="C154" t="s">
        <v>284</v>
      </c>
      <c r="D154">
        <v>156</v>
      </c>
      <c r="E154">
        <v>205</v>
      </c>
      <c r="F154">
        <v>31980</v>
      </c>
    </row>
    <row r="155" spans="1:6">
      <c r="A155" t="s">
        <v>439</v>
      </c>
      <c r="B155" s="33">
        <v>43266</v>
      </c>
      <c r="C155" t="s">
        <v>290</v>
      </c>
      <c r="D155">
        <v>126</v>
      </c>
      <c r="E155">
        <v>295</v>
      </c>
      <c r="F155">
        <v>37170</v>
      </c>
    </row>
    <row r="156" spans="1:6">
      <c r="A156" t="s">
        <v>440</v>
      </c>
      <c r="B156" s="33">
        <v>43266</v>
      </c>
      <c r="C156" t="s">
        <v>282</v>
      </c>
      <c r="D156">
        <v>267</v>
      </c>
      <c r="E156">
        <v>87</v>
      </c>
      <c r="F156">
        <v>23229</v>
      </c>
    </row>
    <row r="157" spans="1:6">
      <c r="A157" t="s">
        <v>441</v>
      </c>
      <c r="B157" s="33">
        <v>43266</v>
      </c>
      <c r="C157" t="s">
        <v>286</v>
      </c>
      <c r="D157">
        <v>130</v>
      </c>
      <c r="E157">
        <v>460</v>
      </c>
      <c r="F157">
        <v>59800</v>
      </c>
    </row>
    <row r="158" spans="1:6">
      <c r="A158" t="s">
        <v>442</v>
      </c>
      <c r="B158" s="33">
        <v>43266</v>
      </c>
      <c r="C158" t="s">
        <v>290</v>
      </c>
      <c r="D158">
        <v>240</v>
      </c>
      <c r="E158">
        <v>255</v>
      </c>
      <c r="F158">
        <v>61200</v>
      </c>
    </row>
    <row r="159" spans="1:6">
      <c r="A159" t="s">
        <v>443</v>
      </c>
      <c r="B159" s="33">
        <v>43266</v>
      </c>
      <c r="C159" t="s">
        <v>284</v>
      </c>
      <c r="D159">
        <v>30</v>
      </c>
      <c r="E159">
        <v>297</v>
      </c>
      <c r="F159">
        <v>8910</v>
      </c>
    </row>
    <row r="160" spans="1:6">
      <c r="A160" t="s">
        <v>444</v>
      </c>
      <c r="B160" s="33">
        <v>43266</v>
      </c>
      <c r="C160" t="s">
        <v>284</v>
      </c>
      <c r="D160">
        <v>146</v>
      </c>
      <c r="E160">
        <v>13</v>
      </c>
      <c r="F160">
        <v>1898</v>
      </c>
    </row>
    <row r="161" spans="1:6">
      <c r="A161" t="s">
        <v>445</v>
      </c>
      <c r="B161" s="33">
        <v>43266</v>
      </c>
      <c r="C161" t="s">
        <v>290</v>
      </c>
      <c r="D161">
        <v>263</v>
      </c>
      <c r="E161">
        <v>83</v>
      </c>
      <c r="F161">
        <v>21829</v>
      </c>
    </row>
    <row r="162" spans="1:6">
      <c r="A162" t="s">
        <v>446</v>
      </c>
      <c r="B162" s="33">
        <v>43266</v>
      </c>
      <c r="C162" t="s">
        <v>282</v>
      </c>
      <c r="D162">
        <v>12</v>
      </c>
      <c r="E162">
        <v>400</v>
      </c>
      <c r="F162">
        <v>4800</v>
      </c>
    </row>
    <row r="163" spans="1:6">
      <c r="A163" t="s">
        <v>447</v>
      </c>
      <c r="B163" s="33">
        <v>43266</v>
      </c>
      <c r="C163" t="s">
        <v>282</v>
      </c>
      <c r="D163">
        <v>41</v>
      </c>
      <c r="E163">
        <v>493</v>
      </c>
      <c r="F163">
        <v>20213</v>
      </c>
    </row>
    <row r="164" spans="1:6">
      <c r="A164" t="s">
        <v>448</v>
      </c>
      <c r="B164" s="33">
        <v>43267</v>
      </c>
      <c r="C164" t="s">
        <v>288</v>
      </c>
      <c r="D164">
        <v>18</v>
      </c>
      <c r="E164">
        <v>472</v>
      </c>
      <c r="F164">
        <v>8496</v>
      </c>
    </row>
    <row r="165" spans="1:6">
      <c r="A165" t="s">
        <v>449</v>
      </c>
      <c r="B165" s="33">
        <v>43267</v>
      </c>
      <c r="C165" t="s">
        <v>286</v>
      </c>
      <c r="D165">
        <v>206</v>
      </c>
      <c r="E165">
        <v>85</v>
      </c>
      <c r="F165">
        <v>17510</v>
      </c>
    </row>
    <row r="166" spans="1:6">
      <c r="A166" t="s">
        <v>450</v>
      </c>
      <c r="B166" s="33">
        <v>43267</v>
      </c>
      <c r="C166" t="s">
        <v>286</v>
      </c>
      <c r="D166">
        <v>165</v>
      </c>
      <c r="E166">
        <v>13</v>
      </c>
      <c r="F166">
        <v>2145</v>
      </c>
    </row>
    <row r="167" spans="1:6">
      <c r="A167" t="s">
        <v>451</v>
      </c>
      <c r="B167" s="33">
        <v>43267</v>
      </c>
      <c r="C167" t="s">
        <v>282</v>
      </c>
      <c r="D167">
        <v>215</v>
      </c>
      <c r="E167">
        <v>53</v>
      </c>
      <c r="F167">
        <v>11395</v>
      </c>
    </row>
    <row r="168" spans="1:6">
      <c r="A168" t="s">
        <v>452</v>
      </c>
      <c r="B168" s="33">
        <v>43267</v>
      </c>
      <c r="C168" t="s">
        <v>288</v>
      </c>
      <c r="D168">
        <v>158</v>
      </c>
      <c r="E168">
        <v>198</v>
      </c>
      <c r="F168">
        <v>31284</v>
      </c>
    </row>
    <row r="169" spans="1:6">
      <c r="A169" t="s">
        <v>453</v>
      </c>
      <c r="B169" s="33">
        <v>43267</v>
      </c>
      <c r="C169" t="s">
        <v>284</v>
      </c>
      <c r="D169">
        <v>269</v>
      </c>
      <c r="E169">
        <v>386</v>
      </c>
      <c r="F169">
        <v>103834</v>
      </c>
    </row>
    <row r="170" spans="1:6">
      <c r="A170" t="s">
        <v>454</v>
      </c>
      <c r="B170" s="33">
        <v>43267</v>
      </c>
      <c r="C170" t="s">
        <v>286</v>
      </c>
      <c r="D170">
        <v>116</v>
      </c>
      <c r="E170">
        <v>224</v>
      </c>
      <c r="F170">
        <v>25984</v>
      </c>
    </row>
    <row r="171" spans="1:6">
      <c r="A171" t="s">
        <v>455</v>
      </c>
      <c r="B171" s="33">
        <v>43267</v>
      </c>
      <c r="C171" t="s">
        <v>282</v>
      </c>
      <c r="D171">
        <v>129</v>
      </c>
      <c r="E171">
        <v>34</v>
      </c>
      <c r="F171">
        <v>4386</v>
      </c>
    </row>
    <row r="172" spans="1:6">
      <c r="A172" t="s">
        <v>456</v>
      </c>
      <c r="B172" s="33">
        <v>43267</v>
      </c>
      <c r="C172" t="s">
        <v>286</v>
      </c>
      <c r="D172">
        <v>63</v>
      </c>
      <c r="E172">
        <v>498</v>
      </c>
      <c r="F172">
        <v>31374</v>
      </c>
    </row>
    <row r="173" spans="1:6">
      <c r="A173" t="s">
        <v>457</v>
      </c>
      <c r="B173" s="33">
        <v>43267</v>
      </c>
      <c r="C173" t="s">
        <v>282</v>
      </c>
      <c r="D173">
        <v>136</v>
      </c>
      <c r="E173">
        <v>431</v>
      </c>
      <c r="F173">
        <v>58616</v>
      </c>
    </row>
    <row r="174" spans="1:6">
      <c r="A174" t="s">
        <v>458</v>
      </c>
      <c r="B174" s="33">
        <v>43267</v>
      </c>
      <c r="C174" t="s">
        <v>288</v>
      </c>
      <c r="D174">
        <v>15</v>
      </c>
      <c r="E174">
        <v>57</v>
      </c>
      <c r="F174">
        <v>855</v>
      </c>
    </row>
    <row r="175" spans="1:6">
      <c r="A175" t="s">
        <v>459</v>
      </c>
      <c r="B175" s="33">
        <v>43268</v>
      </c>
      <c r="C175" t="s">
        <v>290</v>
      </c>
      <c r="D175">
        <v>11</v>
      </c>
      <c r="E175">
        <v>66</v>
      </c>
      <c r="F175">
        <v>726</v>
      </c>
    </row>
    <row r="176" spans="1:6">
      <c r="A176" t="s">
        <v>460</v>
      </c>
      <c r="B176" s="33">
        <v>43268</v>
      </c>
      <c r="C176" t="s">
        <v>286</v>
      </c>
      <c r="D176">
        <v>227</v>
      </c>
      <c r="E176">
        <v>267</v>
      </c>
      <c r="F176">
        <v>60609</v>
      </c>
    </row>
    <row r="177" spans="1:6">
      <c r="A177" t="s">
        <v>461</v>
      </c>
      <c r="B177" s="33">
        <v>43268</v>
      </c>
      <c r="C177" t="s">
        <v>288</v>
      </c>
      <c r="D177">
        <v>25</v>
      </c>
      <c r="E177">
        <v>55</v>
      </c>
      <c r="F177">
        <v>1375</v>
      </c>
    </row>
    <row r="178" spans="1:6">
      <c r="A178" t="s">
        <v>462</v>
      </c>
      <c r="B178" s="33">
        <v>43268</v>
      </c>
      <c r="C178" t="s">
        <v>282</v>
      </c>
      <c r="D178">
        <v>233</v>
      </c>
      <c r="E178">
        <v>18</v>
      </c>
      <c r="F178">
        <v>4194</v>
      </c>
    </row>
    <row r="179" spans="1:6">
      <c r="A179" t="s">
        <v>463</v>
      </c>
      <c r="B179" s="33">
        <v>43268</v>
      </c>
      <c r="C179" t="s">
        <v>282</v>
      </c>
      <c r="D179">
        <v>282</v>
      </c>
      <c r="E179">
        <v>265</v>
      </c>
      <c r="F179">
        <v>74730</v>
      </c>
    </row>
    <row r="180" spans="1:6">
      <c r="A180" t="s">
        <v>464</v>
      </c>
      <c r="B180" s="33">
        <v>43268</v>
      </c>
      <c r="C180" t="s">
        <v>282</v>
      </c>
      <c r="D180">
        <v>106</v>
      </c>
      <c r="E180">
        <v>153</v>
      </c>
      <c r="F180">
        <v>16218</v>
      </c>
    </row>
    <row r="181" spans="1:6">
      <c r="A181" t="s">
        <v>465</v>
      </c>
      <c r="B181" s="33">
        <v>43268</v>
      </c>
      <c r="C181" t="s">
        <v>290</v>
      </c>
      <c r="D181">
        <v>261</v>
      </c>
      <c r="E181">
        <v>329</v>
      </c>
      <c r="F181">
        <v>85869</v>
      </c>
    </row>
    <row r="182" spans="1:6">
      <c r="A182" t="s">
        <v>466</v>
      </c>
      <c r="B182" s="33">
        <v>43268</v>
      </c>
      <c r="C182" t="s">
        <v>290</v>
      </c>
      <c r="D182">
        <v>68</v>
      </c>
      <c r="E182">
        <v>246</v>
      </c>
      <c r="F182">
        <v>16728</v>
      </c>
    </row>
    <row r="183" spans="1:6">
      <c r="A183" t="s">
        <v>467</v>
      </c>
      <c r="B183" s="33">
        <v>43268</v>
      </c>
      <c r="C183" t="s">
        <v>284</v>
      </c>
      <c r="D183">
        <v>153</v>
      </c>
      <c r="E183">
        <v>392</v>
      </c>
      <c r="F183">
        <v>59976</v>
      </c>
    </row>
    <row r="184" spans="1:6">
      <c r="A184" t="s">
        <v>468</v>
      </c>
      <c r="B184" s="33">
        <v>43268</v>
      </c>
      <c r="C184" t="s">
        <v>286</v>
      </c>
      <c r="D184">
        <v>28</v>
      </c>
      <c r="E184">
        <v>13</v>
      </c>
      <c r="F184">
        <v>364</v>
      </c>
    </row>
    <row r="185" spans="1:6">
      <c r="A185" t="s">
        <v>469</v>
      </c>
      <c r="B185" s="33">
        <v>43268</v>
      </c>
      <c r="C185" t="s">
        <v>282</v>
      </c>
      <c r="D185">
        <v>238</v>
      </c>
      <c r="E185">
        <v>54</v>
      </c>
      <c r="F185">
        <v>12852</v>
      </c>
    </row>
    <row r="186" spans="1:6">
      <c r="A186" t="s">
        <v>470</v>
      </c>
      <c r="B186" s="33">
        <v>43268</v>
      </c>
      <c r="C186" t="s">
        <v>282</v>
      </c>
      <c r="D186">
        <v>147</v>
      </c>
      <c r="E186">
        <v>267</v>
      </c>
      <c r="F186">
        <v>39249</v>
      </c>
    </row>
    <row r="187" spans="1:6">
      <c r="A187" t="s">
        <v>471</v>
      </c>
      <c r="B187" s="33">
        <v>43268</v>
      </c>
      <c r="C187" t="s">
        <v>288</v>
      </c>
      <c r="D187">
        <v>99</v>
      </c>
      <c r="E187">
        <v>437</v>
      </c>
      <c r="F187">
        <v>43263</v>
      </c>
    </row>
    <row r="188" spans="1:6">
      <c r="A188" t="s">
        <v>472</v>
      </c>
      <c r="B188" s="33">
        <v>43269</v>
      </c>
      <c r="C188" t="s">
        <v>282</v>
      </c>
      <c r="D188">
        <v>298</v>
      </c>
      <c r="E188">
        <v>367</v>
      </c>
      <c r="F188">
        <v>109366</v>
      </c>
    </row>
    <row r="189" spans="1:6">
      <c r="A189" t="s">
        <v>473</v>
      </c>
      <c r="B189" s="33">
        <v>43269</v>
      </c>
      <c r="C189" t="s">
        <v>282</v>
      </c>
      <c r="D189">
        <v>69</v>
      </c>
      <c r="E189">
        <v>51</v>
      </c>
      <c r="F189">
        <v>3519</v>
      </c>
    </row>
    <row r="190" spans="1:6">
      <c r="A190" t="s">
        <v>474</v>
      </c>
      <c r="B190" s="33">
        <v>43269</v>
      </c>
      <c r="C190" t="s">
        <v>282</v>
      </c>
      <c r="D190">
        <v>93</v>
      </c>
      <c r="E190">
        <v>421</v>
      </c>
      <c r="F190">
        <v>39153</v>
      </c>
    </row>
    <row r="191" spans="1:6">
      <c r="A191" t="s">
        <v>475</v>
      </c>
      <c r="B191" s="33">
        <v>43269</v>
      </c>
      <c r="C191" t="s">
        <v>284</v>
      </c>
      <c r="D191">
        <v>76</v>
      </c>
      <c r="E191">
        <v>35</v>
      </c>
      <c r="F191">
        <v>2660</v>
      </c>
    </row>
    <row r="192" spans="1:6">
      <c r="A192" t="s">
        <v>476</v>
      </c>
      <c r="B192" s="33">
        <v>43269</v>
      </c>
      <c r="C192" t="s">
        <v>286</v>
      </c>
      <c r="D192">
        <v>44</v>
      </c>
      <c r="E192">
        <v>377</v>
      </c>
      <c r="F192">
        <v>16588</v>
      </c>
    </row>
    <row r="193" spans="1:6">
      <c r="A193" t="s">
        <v>477</v>
      </c>
      <c r="B193" s="33">
        <v>43269</v>
      </c>
      <c r="C193" t="s">
        <v>290</v>
      </c>
      <c r="D193">
        <v>165</v>
      </c>
      <c r="E193">
        <v>278</v>
      </c>
      <c r="F193">
        <v>45870</v>
      </c>
    </row>
    <row r="194" spans="1:6">
      <c r="A194" t="s">
        <v>478</v>
      </c>
      <c r="B194" s="33">
        <v>43269</v>
      </c>
      <c r="C194" t="s">
        <v>288</v>
      </c>
      <c r="D194">
        <v>135</v>
      </c>
      <c r="E194">
        <v>33</v>
      </c>
      <c r="F194">
        <v>4455</v>
      </c>
    </row>
    <row r="195" spans="1:6">
      <c r="A195" t="s">
        <v>479</v>
      </c>
      <c r="B195" s="33">
        <v>43269</v>
      </c>
      <c r="C195" t="s">
        <v>284</v>
      </c>
      <c r="D195">
        <v>87</v>
      </c>
      <c r="E195">
        <v>29</v>
      </c>
      <c r="F195">
        <v>2523</v>
      </c>
    </row>
    <row r="196" spans="1:6">
      <c r="A196" t="s">
        <v>480</v>
      </c>
      <c r="B196" s="33">
        <v>43269</v>
      </c>
      <c r="C196" t="s">
        <v>282</v>
      </c>
      <c r="D196">
        <v>93</v>
      </c>
      <c r="E196">
        <v>146</v>
      </c>
      <c r="F196">
        <v>13578</v>
      </c>
    </row>
    <row r="197" spans="1:6">
      <c r="A197" t="s">
        <v>481</v>
      </c>
      <c r="B197" s="33">
        <v>43269</v>
      </c>
      <c r="C197" t="s">
        <v>282</v>
      </c>
      <c r="D197">
        <v>21</v>
      </c>
      <c r="E197">
        <v>58</v>
      </c>
      <c r="F197">
        <v>1218</v>
      </c>
    </row>
    <row r="198" spans="1:6">
      <c r="A198" t="s">
        <v>482</v>
      </c>
      <c r="B198" s="33">
        <v>43270</v>
      </c>
      <c r="C198" t="s">
        <v>284</v>
      </c>
      <c r="D198">
        <v>70</v>
      </c>
      <c r="E198">
        <v>339</v>
      </c>
      <c r="F198">
        <v>23730</v>
      </c>
    </row>
    <row r="199" spans="1:6">
      <c r="A199" t="s">
        <v>483</v>
      </c>
      <c r="B199" s="33">
        <v>43270</v>
      </c>
      <c r="C199" t="s">
        <v>284</v>
      </c>
      <c r="D199">
        <v>271</v>
      </c>
      <c r="E199">
        <v>64</v>
      </c>
      <c r="F199">
        <v>17344</v>
      </c>
    </row>
    <row r="200" spans="1:6">
      <c r="A200" t="s">
        <v>484</v>
      </c>
      <c r="B200" s="33">
        <v>43270</v>
      </c>
      <c r="C200" t="s">
        <v>282</v>
      </c>
      <c r="D200">
        <v>228</v>
      </c>
      <c r="E200">
        <v>162</v>
      </c>
      <c r="F200">
        <v>36936</v>
      </c>
    </row>
    <row r="201" spans="1:6">
      <c r="A201" t="s">
        <v>485</v>
      </c>
      <c r="B201" s="33">
        <v>43270</v>
      </c>
      <c r="C201" t="s">
        <v>286</v>
      </c>
      <c r="D201">
        <v>206</v>
      </c>
      <c r="E201">
        <v>16</v>
      </c>
      <c r="F201">
        <v>3296</v>
      </c>
    </row>
    <row r="202" spans="1:6">
      <c r="A202" t="s">
        <v>486</v>
      </c>
      <c r="B202" s="33">
        <v>43270</v>
      </c>
      <c r="C202" t="s">
        <v>288</v>
      </c>
      <c r="D202">
        <v>241</v>
      </c>
      <c r="E202">
        <v>246</v>
      </c>
      <c r="F202">
        <v>59286</v>
      </c>
    </row>
    <row r="203" spans="1:6">
      <c r="A203" t="s">
        <v>487</v>
      </c>
      <c r="B203" s="33">
        <v>43270</v>
      </c>
      <c r="C203" t="s">
        <v>282</v>
      </c>
      <c r="D203">
        <v>157</v>
      </c>
      <c r="E203">
        <v>155</v>
      </c>
      <c r="F203">
        <v>24335</v>
      </c>
    </row>
    <row r="204" spans="1:6">
      <c r="A204" t="s">
        <v>488</v>
      </c>
      <c r="B204" s="33">
        <v>43270</v>
      </c>
      <c r="C204" t="s">
        <v>286</v>
      </c>
      <c r="D204">
        <v>137</v>
      </c>
      <c r="E204">
        <v>277</v>
      </c>
      <c r="F204">
        <v>37949</v>
      </c>
    </row>
    <row r="205" spans="1:6">
      <c r="A205" t="s">
        <v>489</v>
      </c>
      <c r="B205" s="33">
        <v>43271</v>
      </c>
      <c r="C205" t="s">
        <v>290</v>
      </c>
      <c r="D205">
        <v>222</v>
      </c>
      <c r="E205">
        <v>42</v>
      </c>
      <c r="F205">
        <v>9324</v>
      </c>
    </row>
    <row r="206" spans="1:6">
      <c r="A206" t="s">
        <v>490</v>
      </c>
      <c r="B206" s="33">
        <v>43271</v>
      </c>
      <c r="C206" t="s">
        <v>290</v>
      </c>
      <c r="D206">
        <v>28</v>
      </c>
      <c r="E206">
        <v>119</v>
      </c>
      <c r="F206">
        <v>3332</v>
      </c>
    </row>
    <row r="207" spans="1:6">
      <c r="A207" t="s">
        <v>491</v>
      </c>
      <c r="B207" s="33">
        <v>43271</v>
      </c>
      <c r="C207" t="s">
        <v>286</v>
      </c>
      <c r="D207">
        <v>298</v>
      </c>
      <c r="E207">
        <v>145</v>
      </c>
      <c r="F207">
        <v>43210</v>
      </c>
    </row>
    <row r="208" spans="1:6">
      <c r="A208" t="s">
        <v>492</v>
      </c>
      <c r="B208" s="33">
        <v>43271</v>
      </c>
      <c r="C208" t="s">
        <v>282</v>
      </c>
      <c r="D208">
        <v>279</v>
      </c>
      <c r="E208">
        <v>302</v>
      </c>
      <c r="F208">
        <v>84258</v>
      </c>
    </row>
    <row r="209" spans="1:6">
      <c r="A209" t="s">
        <v>493</v>
      </c>
      <c r="B209" s="33">
        <v>43271</v>
      </c>
      <c r="C209" t="s">
        <v>288</v>
      </c>
      <c r="D209">
        <v>102</v>
      </c>
      <c r="E209">
        <v>81</v>
      </c>
      <c r="F209">
        <v>8262</v>
      </c>
    </row>
    <row r="210" spans="1:6">
      <c r="A210" t="s">
        <v>494</v>
      </c>
      <c r="B210" s="33">
        <v>43271</v>
      </c>
      <c r="C210" t="s">
        <v>286</v>
      </c>
      <c r="D210">
        <v>83</v>
      </c>
      <c r="E210">
        <v>2</v>
      </c>
      <c r="F210">
        <v>166</v>
      </c>
    </row>
    <row r="211" spans="1:6">
      <c r="A211" t="s">
        <v>495</v>
      </c>
      <c r="B211" s="33">
        <v>43271</v>
      </c>
      <c r="C211" t="s">
        <v>284</v>
      </c>
      <c r="D211">
        <v>86</v>
      </c>
      <c r="E211">
        <v>51</v>
      </c>
      <c r="F211">
        <v>4386</v>
      </c>
    </row>
    <row r="212" spans="1:6">
      <c r="A212" t="s">
        <v>496</v>
      </c>
      <c r="B212" s="33">
        <v>43272</v>
      </c>
      <c r="C212" t="s">
        <v>286</v>
      </c>
      <c r="D212">
        <v>49</v>
      </c>
      <c r="E212">
        <v>356</v>
      </c>
      <c r="F212">
        <v>17444</v>
      </c>
    </row>
    <row r="213" spans="1:6">
      <c r="A213" t="s">
        <v>497</v>
      </c>
      <c r="B213" s="33">
        <v>43272</v>
      </c>
      <c r="C213" t="s">
        <v>288</v>
      </c>
      <c r="D213">
        <v>38</v>
      </c>
      <c r="E213">
        <v>50</v>
      </c>
      <c r="F213">
        <v>1900</v>
      </c>
    </row>
    <row r="214" spans="1:6">
      <c r="A214" t="s">
        <v>498</v>
      </c>
      <c r="B214" s="33">
        <v>43272</v>
      </c>
      <c r="C214" t="s">
        <v>284</v>
      </c>
      <c r="D214">
        <v>42</v>
      </c>
      <c r="E214">
        <v>173</v>
      </c>
      <c r="F214">
        <v>7266</v>
      </c>
    </row>
    <row r="215" spans="1:6">
      <c r="A215" t="s">
        <v>499</v>
      </c>
      <c r="B215" s="33">
        <v>43272</v>
      </c>
      <c r="C215" t="s">
        <v>284</v>
      </c>
      <c r="D215">
        <v>119</v>
      </c>
      <c r="E215">
        <v>18</v>
      </c>
      <c r="F215">
        <v>2142</v>
      </c>
    </row>
    <row r="216" spans="1:6">
      <c r="A216" t="s">
        <v>500</v>
      </c>
      <c r="B216" s="33">
        <v>43272</v>
      </c>
      <c r="C216" t="s">
        <v>284</v>
      </c>
      <c r="D216">
        <v>106</v>
      </c>
      <c r="E216">
        <v>97</v>
      </c>
      <c r="F216">
        <v>10282</v>
      </c>
    </row>
    <row r="217" spans="1:6">
      <c r="A217" t="s">
        <v>501</v>
      </c>
      <c r="B217" s="33">
        <v>43272</v>
      </c>
      <c r="C217" t="s">
        <v>288</v>
      </c>
      <c r="D217">
        <v>159</v>
      </c>
      <c r="E217">
        <v>179</v>
      </c>
      <c r="F217">
        <v>28461</v>
      </c>
    </row>
    <row r="218" spans="1:6">
      <c r="A218" t="s">
        <v>502</v>
      </c>
      <c r="B218" s="33">
        <v>43272</v>
      </c>
      <c r="C218" t="s">
        <v>286</v>
      </c>
      <c r="D218">
        <v>57</v>
      </c>
      <c r="E218">
        <v>362</v>
      </c>
      <c r="F218">
        <v>20634</v>
      </c>
    </row>
    <row r="219" spans="1:6">
      <c r="A219" t="s">
        <v>503</v>
      </c>
      <c r="B219" s="33">
        <v>43272</v>
      </c>
      <c r="C219" t="s">
        <v>290</v>
      </c>
      <c r="D219">
        <v>210</v>
      </c>
      <c r="E219">
        <v>409</v>
      </c>
      <c r="F219">
        <v>85890</v>
      </c>
    </row>
    <row r="220" spans="1:6">
      <c r="A220" t="s">
        <v>504</v>
      </c>
      <c r="B220" s="33">
        <v>43272</v>
      </c>
      <c r="C220" t="s">
        <v>282</v>
      </c>
      <c r="D220">
        <v>202</v>
      </c>
      <c r="E220">
        <v>105</v>
      </c>
      <c r="F220">
        <v>21210</v>
      </c>
    </row>
    <row r="221" spans="1:6">
      <c r="A221" t="s">
        <v>505</v>
      </c>
      <c r="B221" s="33">
        <v>43272</v>
      </c>
      <c r="C221" t="s">
        <v>288</v>
      </c>
      <c r="D221">
        <v>268</v>
      </c>
      <c r="E221">
        <v>214</v>
      </c>
      <c r="F221">
        <v>57352</v>
      </c>
    </row>
    <row r="222" spans="1:6">
      <c r="A222" t="s">
        <v>506</v>
      </c>
      <c r="B222" s="33">
        <v>43272</v>
      </c>
      <c r="C222" t="s">
        <v>284</v>
      </c>
      <c r="D222">
        <v>228</v>
      </c>
      <c r="E222">
        <v>335</v>
      </c>
      <c r="F222">
        <v>76380</v>
      </c>
    </row>
    <row r="223" spans="1:6">
      <c r="A223" t="s">
        <v>507</v>
      </c>
      <c r="B223" s="33">
        <v>43272</v>
      </c>
      <c r="C223" t="s">
        <v>288</v>
      </c>
      <c r="D223">
        <v>205</v>
      </c>
      <c r="E223">
        <v>157</v>
      </c>
      <c r="F223">
        <v>32185</v>
      </c>
    </row>
    <row r="224" spans="1:6">
      <c r="A224" t="s">
        <v>508</v>
      </c>
      <c r="B224" s="33">
        <v>43272</v>
      </c>
      <c r="C224" t="s">
        <v>288</v>
      </c>
      <c r="D224">
        <v>122</v>
      </c>
      <c r="E224">
        <v>70</v>
      </c>
      <c r="F224">
        <v>8540</v>
      </c>
    </row>
    <row r="225" spans="1:6">
      <c r="A225" t="s">
        <v>509</v>
      </c>
      <c r="B225" s="33">
        <v>43273</v>
      </c>
      <c r="C225" t="s">
        <v>288</v>
      </c>
      <c r="D225">
        <v>170</v>
      </c>
      <c r="E225">
        <v>196</v>
      </c>
      <c r="F225">
        <v>33320</v>
      </c>
    </row>
    <row r="226" spans="1:6">
      <c r="A226" t="s">
        <v>510</v>
      </c>
      <c r="B226" s="33">
        <v>43273</v>
      </c>
      <c r="C226" t="s">
        <v>290</v>
      </c>
      <c r="D226">
        <v>185</v>
      </c>
      <c r="E226">
        <v>73</v>
      </c>
      <c r="F226">
        <v>13505</v>
      </c>
    </row>
    <row r="227" spans="1:6">
      <c r="A227" t="s">
        <v>511</v>
      </c>
      <c r="B227" s="33">
        <v>43273</v>
      </c>
      <c r="C227" t="s">
        <v>288</v>
      </c>
      <c r="D227">
        <v>135</v>
      </c>
      <c r="E227">
        <v>12</v>
      </c>
      <c r="F227">
        <v>1620</v>
      </c>
    </row>
    <row r="228" spans="1:6">
      <c r="A228" t="s">
        <v>512</v>
      </c>
      <c r="B228" s="33">
        <v>43273</v>
      </c>
      <c r="C228" t="s">
        <v>284</v>
      </c>
      <c r="D228">
        <v>45</v>
      </c>
      <c r="E228">
        <v>31</v>
      </c>
      <c r="F228">
        <v>1395</v>
      </c>
    </row>
    <row r="229" spans="1:6">
      <c r="A229" t="s">
        <v>513</v>
      </c>
      <c r="B229" s="33">
        <v>43273</v>
      </c>
      <c r="C229" t="s">
        <v>290</v>
      </c>
      <c r="D229">
        <v>223</v>
      </c>
      <c r="E229">
        <v>318</v>
      </c>
      <c r="F229">
        <v>70914</v>
      </c>
    </row>
    <row r="230" spans="1:6">
      <c r="A230" t="s">
        <v>514</v>
      </c>
      <c r="B230" s="33">
        <v>43273</v>
      </c>
      <c r="C230" t="s">
        <v>284</v>
      </c>
      <c r="D230">
        <v>55</v>
      </c>
      <c r="E230">
        <v>5</v>
      </c>
      <c r="F230">
        <v>275</v>
      </c>
    </row>
    <row r="231" spans="1:6">
      <c r="A231" t="s">
        <v>515</v>
      </c>
      <c r="B231" s="33">
        <v>43273</v>
      </c>
      <c r="C231" t="s">
        <v>290</v>
      </c>
      <c r="D231">
        <v>45</v>
      </c>
      <c r="E231">
        <v>269</v>
      </c>
      <c r="F231">
        <v>12105</v>
      </c>
    </row>
    <row r="232" spans="1:6">
      <c r="A232" t="s">
        <v>516</v>
      </c>
      <c r="B232" s="33">
        <v>43273</v>
      </c>
      <c r="C232" t="s">
        <v>288</v>
      </c>
      <c r="D232">
        <v>153</v>
      </c>
      <c r="E232">
        <v>84</v>
      </c>
      <c r="F232">
        <v>12852</v>
      </c>
    </row>
    <row r="233" spans="1:6">
      <c r="A233" t="s">
        <v>517</v>
      </c>
      <c r="B233" s="33">
        <v>43273</v>
      </c>
      <c r="C233" t="s">
        <v>288</v>
      </c>
      <c r="D233">
        <v>290</v>
      </c>
      <c r="E233">
        <v>241</v>
      </c>
      <c r="F233">
        <v>69890</v>
      </c>
    </row>
    <row r="234" spans="1:6">
      <c r="A234" t="s">
        <v>518</v>
      </c>
      <c r="B234" s="33">
        <v>43273</v>
      </c>
      <c r="C234" t="s">
        <v>290</v>
      </c>
      <c r="D234">
        <v>263</v>
      </c>
      <c r="E234">
        <v>492</v>
      </c>
      <c r="F234">
        <v>129396</v>
      </c>
    </row>
    <row r="235" spans="1:6">
      <c r="A235" t="s">
        <v>519</v>
      </c>
      <c r="B235" s="33">
        <v>43273</v>
      </c>
      <c r="C235" t="s">
        <v>288</v>
      </c>
      <c r="D235">
        <v>39</v>
      </c>
      <c r="E235">
        <v>66</v>
      </c>
      <c r="F235">
        <v>2574</v>
      </c>
    </row>
    <row r="236" spans="1:6">
      <c r="A236" t="s">
        <v>520</v>
      </c>
      <c r="B236" s="33">
        <v>43273</v>
      </c>
      <c r="C236" t="s">
        <v>284</v>
      </c>
      <c r="D236">
        <v>105</v>
      </c>
      <c r="E236">
        <v>30</v>
      </c>
      <c r="F236">
        <v>3150</v>
      </c>
    </row>
    <row r="237" spans="1:6">
      <c r="A237" t="s">
        <v>521</v>
      </c>
      <c r="B237" s="33">
        <v>43273</v>
      </c>
      <c r="C237" t="s">
        <v>288</v>
      </c>
      <c r="D237">
        <v>295</v>
      </c>
      <c r="E237">
        <v>213</v>
      </c>
      <c r="F237">
        <v>62835</v>
      </c>
    </row>
    <row r="238" spans="1:6">
      <c r="A238" t="s">
        <v>522</v>
      </c>
      <c r="B238" s="33">
        <v>43273</v>
      </c>
      <c r="C238" t="s">
        <v>290</v>
      </c>
      <c r="D238">
        <v>99</v>
      </c>
      <c r="E238">
        <v>69</v>
      </c>
      <c r="F238">
        <v>6831</v>
      </c>
    </row>
    <row r="239" spans="1:6">
      <c r="A239" t="s">
        <v>523</v>
      </c>
      <c r="B239" s="33">
        <v>43274</v>
      </c>
      <c r="C239" t="s">
        <v>288</v>
      </c>
      <c r="D239">
        <v>32</v>
      </c>
      <c r="E239">
        <v>336</v>
      </c>
      <c r="F239">
        <v>10752</v>
      </c>
    </row>
    <row r="240" spans="1:6">
      <c r="A240" t="s">
        <v>524</v>
      </c>
      <c r="B240" s="33">
        <v>43274</v>
      </c>
      <c r="C240" t="s">
        <v>284</v>
      </c>
      <c r="D240">
        <v>96</v>
      </c>
      <c r="E240">
        <v>227</v>
      </c>
      <c r="F240">
        <v>21792</v>
      </c>
    </row>
    <row r="241" spans="1:6">
      <c r="A241" t="s">
        <v>525</v>
      </c>
      <c r="B241" s="33">
        <v>43274</v>
      </c>
      <c r="C241" t="s">
        <v>288</v>
      </c>
      <c r="D241">
        <v>39</v>
      </c>
      <c r="E241">
        <v>57</v>
      </c>
      <c r="F241">
        <v>2223</v>
      </c>
    </row>
    <row r="242" spans="1:6">
      <c r="A242" t="s">
        <v>526</v>
      </c>
      <c r="B242" s="33">
        <v>43274</v>
      </c>
      <c r="C242" t="s">
        <v>286</v>
      </c>
      <c r="D242">
        <v>103</v>
      </c>
      <c r="E242">
        <v>430</v>
      </c>
      <c r="F242">
        <v>44290</v>
      </c>
    </row>
    <row r="243" spans="1:6">
      <c r="A243" t="s">
        <v>527</v>
      </c>
      <c r="B243" s="33">
        <v>43274</v>
      </c>
      <c r="C243" t="s">
        <v>288</v>
      </c>
      <c r="D243">
        <v>135</v>
      </c>
      <c r="E243">
        <v>468</v>
      </c>
      <c r="F243">
        <v>63180</v>
      </c>
    </row>
    <row r="244" spans="1:6">
      <c r="A244" t="s">
        <v>528</v>
      </c>
      <c r="B244" s="33">
        <v>43274</v>
      </c>
      <c r="C244" t="s">
        <v>282</v>
      </c>
      <c r="D244">
        <v>58</v>
      </c>
      <c r="E244">
        <v>15</v>
      </c>
      <c r="F244">
        <v>870</v>
      </c>
    </row>
    <row r="245" spans="1:6">
      <c r="A245" t="s">
        <v>529</v>
      </c>
      <c r="B245" s="33">
        <v>43274</v>
      </c>
      <c r="C245" t="s">
        <v>282</v>
      </c>
      <c r="D245">
        <v>202</v>
      </c>
      <c r="E245">
        <v>230</v>
      </c>
      <c r="F245">
        <v>46460</v>
      </c>
    </row>
    <row r="246" spans="1:6">
      <c r="A246" t="s">
        <v>530</v>
      </c>
      <c r="B246" s="33">
        <v>43274</v>
      </c>
      <c r="C246" t="s">
        <v>282</v>
      </c>
      <c r="D246">
        <v>127</v>
      </c>
      <c r="E246">
        <v>26</v>
      </c>
      <c r="F246">
        <v>3302</v>
      </c>
    </row>
    <row r="247" spans="1:6">
      <c r="A247" t="s">
        <v>531</v>
      </c>
      <c r="B247" s="33">
        <v>43274</v>
      </c>
      <c r="C247" t="s">
        <v>282</v>
      </c>
      <c r="D247">
        <v>229</v>
      </c>
      <c r="E247">
        <v>55</v>
      </c>
      <c r="F247">
        <v>12595</v>
      </c>
    </row>
    <row r="248" spans="1:6">
      <c r="A248" t="s">
        <v>532</v>
      </c>
      <c r="B248" s="33">
        <v>43274</v>
      </c>
      <c r="C248" t="s">
        <v>282</v>
      </c>
      <c r="D248">
        <v>249</v>
      </c>
      <c r="E248">
        <v>93</v>
      </c>
      <c r="F248">
        <v>23157</v>
      </c>
    </row>
    <row r="249" spans="1:6">
      <c r="A249" t="s">
        <v>533</v>
      </c>
      <c r="B249" s="33">
        <v>43274</v>
      </c>
      <c r="C249" t="s">
        <v>288</v>
      </c>
      <c r="D249">
        <v>101</v>
      </c>
      <c r="E249">
        <v>363</v>
      </c>
      <c r="F249">
        <v>36663</v>
      </c>
    </row>
    <row r="250" spans="1:6">
      <c r="A250" t="s">
        <v>534</v>
      </c>
      <c r="B250" s="33">
        <v>43275</v>
      </c>
      <c r="C250" t="s">
        <v>284</v>
      </c>
      <c r="D250">
        <v>15</v>
      </c>
      <c r="E250">
        <v>493</v>
      </c>
      <c r="F250">
        <v>7395</v>
      </c>
    </row>
    <row r="251" spans="1:6">
      <c r="A251" t="s">
        <v>535</v>
      </c>
      <c r="B251" s="33">
        <v>43275</v>
      </c>
      <c r="C251" t="s">
        <v>284</v>
      </c>
      <c r="D251">
        <v>26</v>
      </c>
      <c r="E251">
        <v>380</v>
      </c>
      <c r="F251">
        <v>9880</v>
      </c>
    </row>
    <row r="252" spans="1:6">
      <c r="A252" t="s">
        <v>536</v>
      </c>
      <c r="B252" s="33">
        <v>43275</v>
      </c>
      <c r="C252" t="s">
        <v>290</v>
      </c>
      <c r="D252">
        <v>45</v>
      </c>
      <c r="E252">
        <v>135</v>
      </c>
      <c r="F252">
        <v>6075</v>
      </c>
    </row>
    <row r="253" spans="1:6">
      <c r="A253" t="s">
        <v>537</v>
      </c>
      <c r="B253" s="33">
        <v>43275</v>
      </c>
      <c r="C253" t="s">
        <v>288</v>
      </c>
      <c r="D253">
        <v>115</v>
      </c>
      <c r="E253">
        <v>340</v>
      </c>
      <c r="F253">
        <v>39100</v>
      </c>
    </row>
    <row r="254" spans="1:6">
      <c r="A254" t="s">
        <v>538</v>
      </c>
      <c r="B254" s="33">
        <v>43275</v>
      </c>
      <c r="C254" t="s">
        <v>282</v>
      </c>
      <c r="D254">
        <v>109</v>
      </c>
      <c r="E254">
        <v>326</v>
      </c>
      <c r="F254">
        <v>35534</v>
      </c>
    </row>
    <row r="255" spans="1:6">
      <c r="A255" t="s">
        <v>539</v>
      </c>
      <c r="B255" s="33">
        <v>43275</v>
      </c>
      <c r="C255" t="s">
        <v>288</v>
      </c>
      <c r="D255">
        <v>282</v>
      </c>
      <c r="E255">
        <v>23</v>
      </c>
      <c r="F255">
        <v>6486</v>
      </c>
    </row>
    <row r="256" spans="1:6">
      <c r="A256" t="s">
        <v>540</v>
      </c>
      <c r="B256" s="33">
        <v>43275</v>
      </c>
      <c r="C256" t="s">
        <v>284</v>
      </c>
      <c r="D256">
        <v>18</v>
      </c>
      <c r="E256">
        <v>260</v>
      </c>
      <c r="F256">
        <v>4680</v>
      </c>
    </row>
    <row r="257" spans="1:6">
      <c r="A257" t="s">
        <v>541</v>
      </c>
      <c r="B257" s="33">
        <v>43275</v>
      </c>
      <c r="C257" t="s">
        <v>288</v>
      </c>
      <c r="D257">
        <v>38</v>
      </c>
      <c r="E257">
        <v>464</v>
      </c>
      <c r="F257">
        <v>17632</v>
      </c>
    </row>
    <row r="258" spans="1:6">
      <c r="A258" t="s">
        <v>542</v>
      </c>
      <c r="B258" s="33">
        <v>43275</v>
      </c>
      <c r="C258" t="s">
        <v>288</v>
      </c>
      <c r="D258">
        <v>213</v>
      </c>
      <c r="E258">
        <v>403</v>
      </c>
      <c r="F258">
        <v>85839</v>
      </c>
    </row>
    <row r="259" spans="1:6">
      <c r="A259" t="s">
        <v>543</v>
      </c>
      <c r="B259" s="33">
        <v>43275</v>
      </c>
      <c r="C259" t="s">
        <v>288</v>
      </c>
      <c r="D259">
        <v>103</v>
      </c>
      <c r="E259">
        <v>374</v>
      </c>
      <c r="F259">
        <v>38522</v>
      </c>
    </row>
    <row r="260" spans="1:6">
      <c r="A260" t="s">
        <v>544</v>
      </c>
      <c r="B260" s="33">
        <v>43275</v>
      </c>
      <c r="C260" t="s">
        <v>286</v>
      </c>
      <c r="D260">
        <v>34</v>
      </c>
      <c r="E260">
        <v>164</v>
      </c>
      <c r="F260">
        <v>5576</v>
      </c>
    </row>
    <row r="261" spans="1:6">
      <c r="A261" t="s">
        <v>545</v>
      </c>
      <c r="B261" s="33">
        <v>43275</v>
      </c>
      <c r="C261" t="s">
        <v>290</v>
      </c>
      <c r="D261">
        <v>284</v>
      </c>
      <c r="E261">
        <v>466</v>
      </c>
      <c r="F261">
        <v>132344</v>
      </c>
    </row>
    <row r="262" spans="1:6">
      <c r="A262" t="s">
        <v>546</v>
      </c>
      <c r="B262" s="33">
        <v>43275</v>
      </c>
      <c r="C262" t="s">
        <v>282</v>
      </c>
      <c r="D262">
        <v>65</v>
      </c>
      <c r="E262">
        <v>96</v>
      </c>
      <c r="F262">
        <v>6240</v>
      </c>
    </row>
    <row r="263" spans="1:6">
      <c r="A263" t="s">
        <v>547</v>
      </c>
      <c r="B263" s="33">
        <v>43275</v>
      </c>
      <c r="C263" t="s">
        <v>286</v>
      </c>
      <c r="D263">
        <v>23</v>
      </c>
      <c r="E263">
        <v>351</v>
      </c>
      <c r="F263">
        <v>8073</v>
      </c>
    </row>
    <row r="264" spans="1:6">
      <c r="A264" t="s">
        <v>548</v>
      </c>
      <c r="B264" s="33">
        <v>43276</v>
      </c>
      <c r="C264" t="s">
        <v>290</v>
      </c>
      <c r="D264">
        <v>19</v>
      </c>
      <c r="E264">
        <v>59</v>
      </c>
      <c r="F264">
        <v>1121</v>
      </c>
    </row>
    <row r="265" spans="1:6">
      <c r="A265" t="s">
        <v>549</v>
      </c>
      <c r="B265" s="33">
        <v>43276</v>
      </c>
      <c r="C265" t="s">
        <v>290</v>
      </c>
      <c r="D265">
        <v>43</v>
      </c>
      <c r="E265">
        <v>58</v>
      </c>
      <c r="F265">
        <v>2494</v>
      </c>
    </row>
    <row r="266" spans="1:6">
      <c r="A266" t="s">
        <v>550</v>
      </c>
      <c r="B266" s="33">
        <v>43276</v>
      </c>
      <c r="C266" t="s">
        <v>284</v>
      </c>
      <c r="D266">
        <v>132</v>
      </c>
      <c r="E266">
        <v>329</v>
      </c>
      <c r="F266">
        <v>43428</v>
      </c>
    </row>
    <row r="267" spans="1:6">
      <c r="A267" t="s">
        <v>551</v>
      </c>
      <c r="B267" s="33">
        <v>43276</v>
      </c>
      <c r="C267" t="s">
        <v>284</v>
      </c>
      <c r="D267">
        <v>92</v>
      </c>
      <c r="E267">
        <v>26</v>
      </c>
      <c r="F267">
        <v>2392</v>
      </c>
    </row>
    <row r="268" spans="1:6">
      <c r="A268" t="s">
        <v>552</v>
      </c>
      <c r="B268" s="33">
        <v>43276</v>
      </c>
      <c r="C268" t="s">
        <v>288</v>
      </c>
      <c r="D268">
        <v>186</v>
      </c>
      <c r="E268">
        <v>390</v>
      </c>
      <c r="F268">
        <v>72540</v>
      </c>
    </row>
    <row r="269" spans="1:6">
      <c r="A269" t="s">
        <v>553</v>
      </c>
      <c r="B269" s="33">
        <v>43276</v>
      </c>
      <c r="C269" t="s">
        <v>284</v>
      </c>
      <c r="D269">
        <v>130</v>
      </c>
      <c r="E269">
        <v>235</v>
      </c>
      <c r="F269">
        <v>30550</v>
      </c>
    </row>
    <row r="270" spans="1:6">
      <c r="A270" t="s">
        <v>554</v>
      </c>
      <c r="B270" s="33">
        <v>43276</v>
      </c>
      <c r="C270" t="s">
        <v>286</v>
      </c>
      <c r="D270">
        <v>228</v>
      </c>
      <c r="E270">
        <v>353</v>
      </c>
      <c r="F270">
        <v>80484</v>
      </c>
    </row>
    <row r="271" spans="1:6">
      <c r="A271" t="s">
        <v>555</v>
      </c>
      <c r="B271" s="33">
        <v>43276</v>
      </c>
      <c r="C271" t="s">
        <v>282</v>
      </c>
      <c r="D271">
        <v>181</v>
      </c>
      <c r="E271">
        <v>173</v>
      </c>
      <c r="F271">
        <v>31313</v>
      </c>
    </row>
    <row r="272" spans="1:6">
      <c r="A272" t="s">
        <v>556</v>
      </c>
      <c r="B272" s="33">
        <v>43276</v>
      </c>
      <c r="C272" t="s">
        <v>284</v>
      </c>
      <c r="D272">
        <v>70</v>
      </c>
      <c r="E272">
        <v>91</v>
      </c>
      <c r="F272">
        <v>6370</v>
      </c>
    </row>
    <row r="273" spans="1:6">
      <c r="A273" t="s">
        <v>557</v>
      </c>
      <c r="B273" s="33">
        <v>43276</v>
      </c>
      <c r="C273" t="s">
        <v>290</v>
      </c>
      <c r="D273">
        <v>291</v>
      </c>
      <c r="E273">
        <v>69</v>
      </c>
      <c r="F273">
        <v>20079</v>
      </c>
    </row>
    <row r="274" spans="1:6">
      <c r="A274" t="s">
        <v>558</v>
      </c>
      <c r="B274" s="33">
        <v>43276</v>
      </c>
      <c r="C274" t="s">
        <v>288</v>
      </c>
      <c r="D274">
        <v>150</v>
      </c>
      <c r="E274">
        <v>399</v>
      </c>
      <c r="F274">
        <v>59850</v>
      </c>
    </row>
    <row r="275" spans="1:6">
      <c r="A275" t="s">
        <v>559</v>
      </c>
      <c r="B275" s="33">
        <v>43276</v>
      </c>
      <c r="C275" t="s">
        <v>290</v>
      </c>
      <c r="D275">
        <v>266</v>
      </c>
      <c r="E275">
        <v>407</v>
      </c>
      <c r="F275">
        <v>108262</v>
      </c>
    </row>
    <row r="276" spans="1:6">
      <c r="A276" t="s">
        <v>560</v>
      </c>
      <c r="B276" s="33">
        <v>43276</v>
      </c>
      <c r="C276" t="s">
        <v>282</v>
      </c>
      <c r="D276">
        <v>100</v>
      </c>
      <c r="E276">
        <v>95</v>
      </c>
      <c r="F276">
        <v>9500</v>
      </c>
    </row>
    <row r="277" spans="1:6">
      <c r="A277" t="s">
        <v>561</v>
      </c>
      <c r="B277" s="33">
        <v>43276</v>
      </c>
      <c r="C277" t="s">
        <v>284</v>
      </c>
      <c r="D277">
        <v>68</v>
      </c>
      <c r="E277">
        <v>41</v>
      </c>
      <c r="F277">
        <v>2788</v>
      </c>
    </row>
    <row r="278" spans="1:6">
      <c r="A278" t="s">
        <v>562</v>
      </c>
      <c r="B278" s="33">
        <v>43276</v>
      </c>
      <c r="C278" t="s">
        <v>290</v>
      </c>
      <c r="D278">
        <v>170</v>
      </c>
      <c r="E278">
        <v>60</v>
      </c>
      <c r="F278">
        <v>10200</v>
      </c>
    </row>
    <row r="279" spans="1:6">
      <c r="A279" t="s">
        <v>563</v>
      </c>
      <c r="B279" s="33">
        <v>43276</v>
      </c>
      <c r="C279" t="s">
        <v>282</v>
      </c>
      <c r="D279">
        <v>187</v>
      </c>
      <c r="E279">
        <v>142</v>
      </c>
      <c r="F279">
        <v>26554</v>
      </c>
    </row>
    <row r="280" spans="1:6">
      <c r="A280" t="s">
        <v>564</v>
      </c>
      <c r="B280" s="33">
        <v>43276</v>
      </c>
      <c r="C280" t="s">
        <v>288</v>
      </c>
      <c r="D280">
        <v>140</v>
      </c>
      <c r="E280">
        <v>387</v>
      </c>
      <c r="F280">
        <v>54180</v>
      </c>
    </row>
    <row r="281" spans="1:6">
      <c r="A281" t="s">
        <v>565</v>
      </c>
      <c r="B281" s="33">
        <v>43276</v>
      </c>
      <c r="C281" t="s">
        <v>290</v>
      </c>
      <c r="D281">
        <v>256</v>
      </c>
      <c r="E281">
        <v>320</v>
      </c>
      <c r="F281">
        <v>81920</v>
      </c>
    </row>
    <row r="282" spans="1:6">
      <c r="A282" t="s">
        <v>566</v>
      </c>
      <c r="B282" s="33">
        <v>43277</v>
      </c>
      <c r="C282" t="s">
        <v>290</v>
      </c>
      <c r="D282">
        <v>270</v>
      </c>
      <c r="E282">
        <v>82</v>
      </c>
      <c r="F282">
        <v>22140</v>
      </c>
    </row>
    <row r="283" spans="1:6">
      <c r="A283" t="s">
        <v>567</v>
      </c>
      <c r="B283" s="33">
        <v>43277</v>
      </c>
      <c r="C283" t="s">
        <v>290</v>
      </c>
      <c r="D283">
        <v>163</v>
      </c>
      <c r="E283">
        <v>141</v>
      </c>
      <c r="F283">
        <v>22983</v>
      </c>
    </row>
    <row r="284" spans="1:6">
      <c r="A284" t="s">
        <v>568</v>
      </c>
      <c r="B284" s="33">
        <v>43277</v>
      </c>
      <c r="C284" t="s">
        <v>282</v>
      </c>
      <c r="D284">
        <v>31</v>
      </c>
      <c r="E284">
        <v>54</v>
      </c>
      <c r="F284">
        <v>1674</v>
      </c>
    </row>
    <row r="285" spans="1:6">
      <c r="A285" t="s">
        <v>569</v>
      </c>
      <c r="B285" s="33">
        <v>43277</v>
      </c>
      <c r="C285" t="s">
        <v>282</v>
      </c>
      <c r="D285">
        <v>150</v>
      </c>
      <c r="E285">
        <v>60</v>
      </c>
      <c r="F285">
        <v>9000</v>
      </c>
    </row>
    <row r="286" spans="1:6">
      <c r="A286" t="s">
        <v>570</v>
      </c>
      <c r="B286" s="33">
        <v>43277</v>
      </c>
      <c r="C286" t="s">
        <v>282</v>
      </c>
      <c r="D286">
        <v>23</v>
      </c>
      <c r="E286">
        <v>496</v>
      </c>
      <c r="F286">
        <v>11408</v>
      </c>
    </row>
    <row r="287" spans="1:6">
      <c r="A287" t="s">
        <v>571</v>
      </c>
      <c r="B287" s="33">
        <v>43277</v>
      </c>
      <c r="C287" t="s">
        <v>288</v>
      </c>
      <c r="D287">
        <v>118</v>
      </c>
      <c r="E287">
        <v>437</v>
      </c>
      <c r="F287">
        <v>51566</v>
      </c>
    </row>
    <row r="288" spans="1:6">
      <c r="A288" t="s">
        <v>572</v>
      </c>
      <c r="B288" s="33">
        <v>43277</v>
      </c>
      <c r="C288" t="s">
        <v>288</v>
      </c>
      <c r="D288">
        <v>122</v>
      </c>
      <c r="E288">
        <v>129</v>
      </c>
      <c r="F288">
        <v>15738</v>
      </c>
    </row>
    <row r="289" spans="1:6">
      <c r="A289" t="s">
        <v>573</v>
      </c>
      <c r="B289" s="33">
        <v>43277</v>
      </c>
      <c r="C289" t="s">
        <v>284</v>
      </c>
      <c r="D289">
        <v>108</v>
      </c>
      <c r="E289">
        <v>333</v>
      </c>
      <c r="F289">
        <v>35964</v>
      </c>
    </row>
    <row r="290" spans="1:6">
      <c r="A290" t="s">
        <v>574</v>
      </c>
      <c r="B290" s="33">
        <v>43277</v>
      </c>
      <c r="C290" t="s">
        <v>282</v>
      </c>
      <c r="D290">
        <v>130</v>
      </c>
      <c r="E290">
        <v>134</v>
      </c>
      <c r="F290">
        <v>17420</v>
      </c>
    </row>
    <row r="291" spans="1:6">
      <c r="A291" t="s">
        <v>575</v>
      </c>
      <c r="B291" s="33">
        <v>43277</v>
      </c>
      <c r="C291" t="s">
        <v>286</v>
      </c>
      <c r="D291">
        <v>180</v>
      </c>
      <c r="E291">
        <v>94</v>
      </c>
      <c r="F291">
        <v>16920</v>
      </c>
    </row>
    <row r="292" spans="1:6">
      <c r="A292" t="s">
        <v>576</v>
      </c>
      <c r="B292" s="33">
        <v>43277</v>
      </c>
      <c r="C292" t="s">
        <v>286</v>
      </c>
      <c r="D292">
        <v>187</v>
      </c>
      <c r="E292">
        <v>407</v>
      </c>
      <c r="F292">
        <v>76109</v>
      </c>
    </row>
    <row r="293" spans="1:6">
      <c r="A293" t="s">
        <v>577</v>
      </c>
      <c r="B293" s="33">
        <v>43278</v>
      </c>
      <c r="C293" t="s">
        <v>282</v>
      </c>
      <c r="D293">
        <v>183</v>
      </c>
      <c r="E293">
        <v>245</v>
      </c>
      <c r="F293">
        <v>44835</v>
      </c>
    </row>
    <row r="294" spans="1:6">
      <c r="A294" t="s">
        <v>578</v>
      </c>
      <c r="B294" s="33">
        <v>43278</v>
      </c>
      <c r="C294" t="s">
        <v>284</v>
      </c>
      <c r="D294">
        <v>177</v>
      </c>
      <c r="E294">
        <v>214</v>
      </c>
      <c r="F294">
        <v>37878</v>
      </c>
    </row>
    <row r="295" spans="1:6">
      <c r="A295" t="s">
        <v>579</v>
      </c>
      <c r="B295" s="33">
        <v>43278</v>
      </c>
      <c r="C295" t="s">
        <v>288</v>
      </c>
      <c r="D295">
        <v>50</v>
      </c>
      <c r="E295">
        <v>12</v>
      </c>
      <c r="F295">
        <v>600</v>
      </c>
    </row>
    <row r="296" spans="1:6">
      <c r="A296" t="s">
        <v>580</v>
      </c>
      <c r="B296" s="33">
        <v>43278</v>
      </c>
      <c r="C296" t="s">
        <v>284</v>
      </c>
      <c r="D296">
        <v>162</v>
      </c>
      <c r="E296">
        <v>44</v>
      </c>
      <c r="F296">
        <v>7128</v>
      </c>
    </row>
    <row r="297" spans="1:6">
      <c r="A297" t="s">
        <v>581</v>
      </c>
      <c r="B297" s="33">
        <v>43278</v>
      </c>
      <c r="C297" t="s">
        <v>286</v>
      </c>
      <c r="D297">
        <v>142</v>
      </c>
      <c r="E297">
        <v>41</v>
      </c>
      <c r="F297">
        <v>5822</v>
      </c>
    </row>
    <row r="298" spans="1:6">
      <c r="A298" t="s">
        <v>582</v>
      </c>
      <c r="B298" s="33">
        <v>43278</v>
      </c>
      <c r="C298" t="s">
        <v>284</v>
      </c>
      <c r="D298">
        <v>181</v>
      </c>
      <c r="E298">
        <v>126</v>
      </c>
      <c r="F298">
        <v>22806</v>
      </c>
    </row>
    <row r="299" spans="1:6">
      <c r="A299" t="s">
        <v>583</v>
      </c>
      <c r="B299" s="33">
        <v>43278</v>
      </c>
      <c r="C299" t="s">
        <v>290</v>
      </c>
      <c r="D299">
        <v>136</v>
      </c>
      <c r="E299">
        <v>73</v>
      </c>
      <c r="F299">
        <v>9928</v>
      </c>
    </row>
    <row r="300" spans="1:6">
      <c r="A300" t="s">
        <v>584</v>
      </c>
      <c r="B300" s="33">
        <v>43278</v>
      </c>
      <c r="C300" t="s">
        <v>284</v>
      </c>
      <c r="D300">
        <v>205</v>
      </c>
      <c r="E300">
        <v>203</v>
      </c>
      <c r="F300">
        <v>41615</v>
      </c>
    </row>
    <row r="301" spans="1:6">
      <c r="A301" t="s">
        <v>585</v>
      </c>
      <c r="B301" s="33">
        <v>43279</v>
      </c>
      <c r="C301" t="s">
        <v>286</v>
      </c>
      <c r="D301">
        <v>89</v>
      </c>
      <c r="E301">
        <v>6</v>
      </c>
      <c r="F301">
        <v>534</v>
      </c>
    </row>
    <row r="302" spans="1:6">
      <c r="A302" t="s">
        <v>586</v>
      </c>
      <c r="B302" s="33">
        <v>43279</v>
      </c>
      <c r="C302" t="s">
        <v>282</v>
      </c>
      <c r="D302">
        <v>282</v>
      </c>
      <c r="E302">
        <v>229</v>
      </c>
      <c r="F302">
        <v>64578</v>
      </c>
    </row>
    <row r="303" spans="1:6">
      <c r="A303" t="s">
        <v>587</v>
      </c>
      <c r="B303" s="33">
        <v>43279</v>
      </c>
      <c r="C303" t="s">
        <v>286</v>
      </c>
      <c r="D303">
        <v>258</v>
      </c>
      <c r="E303">
        <v>376</v>
      </c>
      <c r="F303">
        <v>97008</v>
      </c>
    </row>
    <row r="304" spans="1:6">
      <c r="A304" t="s">
        <v>588</v>
      </c>
      <c r="B304" s="33">
        <v>43279</v>
      </c>
      <c r="C304" t="s">
        <v>286</v>
      </c>
      <c r="D304">
        <v>276</v>
      </c>
      <c r="E304">
        <v>352</v>
      </c>
      <c r="F304">
        <v>97152</v>
      </c>
    </row>
    <row r="305" spans="1:6">
      <c r="A305" t="s">
        <v>589</v>
      </c>
      <c r="B305" s="33">
        <v>43279</v>
      </c>
      <c r="C305" t="s">
        <v>284</v>
      </c>
      <c r="D305">
        <v>274</v>
      </c>
      <c r="E305">
        <v>16</v>
      </c>
      <c r="F305">
        <v>4384</v>
      </c>
    </row>
    <row r="306" spans="1:6">
      <c r="A306" t="s">
        <v>590</v>
      </c>
      <c r="B306" s="33">
        <v>43279</v>
      </c>
      <c r="C306" t="s">
        <v>284</v>
      </c>
      <c r="D306">
        <v>37</v>
      </c>
      <c r="E306">
        <v>292</v>
      </c>
      <c r="F306">
        <v>10804</v>
      </c>
    </row>
    <row r="307" spans="1:6">
      <c r="A307" t="s">
        <v>591</v>
      </c>
      <c r="B307" s="33">
        <v>43279</v>
      </c>
      <c r="C307" t="s">
        <v>288</v>
      </c>
      <c r="D307">
        <v>87</v>
      </c>
      <c r="E307">
        <v>61</v>
      </c>
      <c r="F307">
        <v>5307</v>
      </c>
    </row>
    <row r="308" spans="1:6">
      <c r="A308" t="s">
        <v>592</v>
      </c>
      <c r="B308" s="33">
        <v>43279</v>
      </c>
      <c r="C308" t="s">
        <v>290</v>
      </c>
      <c r="D308">
        <v>117</v>
      </c>
      <c r="E308">
        <v>42</v>
      </c>
      <c r="F308">
        <v>4914</v>
      </c>
    </row>
    <row r="309" spans="1:6">
      <c r="A309" t="s">
        <v>593</v>
      </c>
      <c r="B309" s="33">
        <v>43279</v>
      </c>
      <c r="C309" t="s">
        <v>290</v>
      </c>
      <c r="D309">
        <v>282</v>
      </c>
      <c r="E309">
        <v>27</v>
      </c>
      <c r="F309">
        <v>7614</v>
      </c>
    </row>
    <row r="310" spans="1:6">
      <c r="A310" t="s">
        <v>594</v>
      </c>
      <c r="B310" s="33">
        <v>43280</v>
      </c>
      <c r="C310" t="s">
        <v>282</v>
      </c>
      <c r="D310">
        <v>75</v>
      </c>
      <c r="E310">
        <v>407</v>
      </c>
      <c r="F310">
        <v>30525</v>
      </c>
    </row>
    <row r="311" spans="1:6">
      <c r="A311" t="s">
        <v>595</v>
      </c>
      <c r="B311" s="33">
        <v>43280</v>
      </c>
      <c r="C311" t="s">
        <v>282</v>
      </c>
      <c r="D311">
        <v>38</v>
      </c>
      <c r="E311">
        <v>58</v>
      </c>
      <c r="F311">
        <v>2204</v>
      </c>
    </row>
    <row r="312" spans="1:6">
      <c r="A312" t="s">
        <v>596</v>
      </c>
      <c r="B312" s="33">
        <v>43280</v>
      </c>
      <c r="C312" t="s">
        <v>282</v>
      </c>
      <c r="D312">
        <v>286</v>
      </c>
      <c r="E312">
        <v>9</v>
      </c>
      <c r="F312">
        <v>2574</v>
      </c>
    </row>
    <row r="313" spans="1:6">
      <c r="A313" t="s">
        <v>597</v>
      </c>
      <c r="B313" s="33">
        <v>43280</v>
      </c>
      <c r="C313" t="s">
        <v>282</v>
      </c>
      <c r="D313">
        <v>287</v>
      </c>
      <c r="E313">
        <v>115</v>
      </c>
      <c r="F313">
        <v>33005</v>
      </c>
    </row>
    <row r="314" spans="1:6">
      <c r="A314" t="s">
        <v>598</v>
      </c>
      <c r="B314" s="33">
        <v>43280</v>
      </c>
      <c r="C314" t="s">
        <v>286</v>
      </c>
      <c r="D314">
        <v>192</v>
      </c>
      <c r="E314">
        <v>20</v>
      </c>
      <c r="F314">
        <v>3840</v>
      </c>
    </row>
    <row r="315" spans="1:6">
      <c r="A315" t="s">
        <v>599</v>
      </c>
      <c r="B315" s="33">
        <v>43280</v>
      </c>
      <c r="C315" t="s">
        <v>284</v>
      </c>
      <c r="D315">
        <v>65</v>
      </c>
      <c r="E315">
        <v>1</v>
      </c>
      <c r="F315">
        <v>65</v>
      </c>
    </row>
    <row r="316" spans="1:6">
      <c r="A316" t="s">
        <v>600</v>
      </c>
      <c r="B316" s="33">
        <v>43280</v>
      </c>
      <c r="C316" t="s">
        <v>282</v>
      </c>
      <c r="D316">
        <v>28</v>
      </c>
      <c r="E316">
        <v>339</v>
      </c>
      <c r="F316">
        <v>9492</v>
      </c>
    </row>
    <row r="317" spans="1:6">
      <c r="A317" t="s">
        <v>601</v>
      </c>
      <c r="B317" s="33">
        <v>43281</v>
      </c>
      <c r="C317" t="s">
        <v>288</v>
      </c>
      <c r="D317">
        <v>84</v>
      </c>
      <c r="E317">
        <v>443</v>
      </c>
      <c r="F317">
        <v>37212</v>
      </c>
    </row>
    <row r="318" spans="1:6">
      <c r="A318" t="s">
        <v>602</v>
      </c>
      <c r="B318" s="33">
        <v>43281</v>
      </c>
      <c r="C318" t="s">
        <v>290</v>
      </c>
      <c r="D318">
        <v>100</v>
      </c>
      <c r="E318">
        <v>83</v>
      </c>
      <c r="F318">
        <v>8300</v>
      </c>
    </row>
    <row r="319" spans="1:6">
      <c r="A319" t="s">
        <v>603</v>
      </c>
      <c r="B319" s="33">
        <v>43281</v>
      </c>
      <c r="C319" t="s">
        <v>282</v>
      </c>
      <c r="D319">
        <v>21</v>
      </c>
      <c r="E319">
        <v>494</v>
      </c>
      <c r="F319">
        <v>10374</v>
      </c>
    </row>
    <row r="320" spans="1:6">
      <c r="A320" t="s">
        <v>604</v>
      </c>
      <c r="B320" s="33">
        <v>43281</v>
      </c>
      <c r="C320" t="s">
        <v>282</v>
      </c>
      <c r="D320">
        <v>119</v>
      </c>
      <c r="E320">
        <v>25</v>
      </c>
      <c r="F320">
        <v>2975</v>
      </c>
    </row>
    <row r="321" spans="1:6">
      <c r="A321" t="s">
        <v>605</v>
      </c>
      <c r="B321" s="33">
        <v>43281</v>
      </c>
      <c r="C321" t="s">
        <v>282</v>
      </c>
      <c r="D321">
        <v>103</v>
      </c>
      <c r="E321">
        <v>242</v>
      </c>
      <c r="F321">
        <v>24926</v>
      </c>
    </row>
    <row r="322" spans="1:6">
      <c r="A322" t="s">
        <v>606</v>
      </c>
      <c r="B322" s="33">
        <v>43281</v>
      </c>
      <c r="C322" t="s">
        <v>282</v>
      </c>
      <c r="D322">
        <v>237</v>
      </c>
      <c r="E322">
        <v>289</v>
      </c>
      <c r="F322">
        <v>68493</v>
      </c>
    </row>
    <row r="323" spans="1:6">
      <c r="A323" t="s">
        <v>607</v>
      </c>
      <c r="B323" s="33">
        <v>43281</v>
      </c>
      <c r="C323" t="s">
        <v>288</v>
      </c>
      <c r="D323">
        <v>54</v>
      </c>
      <c r="E323">
        <v>7</v>
      </c>
      <c r="F323">
        <v>378</v>
      </c>
    </row>
    <row r="324" spans="1:6">
      <c r="A324" t="s">
        <v>608</v>
      </c>
      <c r="B324" s="33">
        <v>43281</v>
      </c>
      <c r="C324" t="s">
        <v>284</v>
      </c>
      <c r="D324">
        <v>107</v>
      </c>
      <c r="E324">
        <v>365</v>
      </c>
      <c r="F324">
        <v>39055</v>
      </c>
    </row>
    <row r="325" spans="1:6">
      <c r="A325" t="s">
        <v>609</v>
      </c>
      <c r="B325" s="33">
        <v>43281</v>
      </c>
      <c r="C325" t="s">
        <v>284</v>
      </c>
      <c r="D325">
        <v>72</v>
      </c>
      <c r="E325">
        <v>95</v>
      </c>
      <c r="F325">
        <v>6840</v>
      </c>
    </row>
    <row r="326" spans="1:6">
      <c r="A326" t="s">
        <v>610</v>
      </c>
      <c r="B326" s="33">
        <v>43282</v>
      </c>
      <c r="C326" t="s">
        <v>282</v>
      </c>
      <c r="D326">
        <v>300</v>
      </c>
      <c r="E326">
        <v>254</v>
      </c>
      <c r="F326">
        <v>76200</v>
      </c>
    </row>
    <row r="327" spans="1:6">
      <c r="A327" t="s">
        <v>611</v>
      </c>
      <c r="B327" s="33">
        <v>43282</v>
      </c>
      <c r="C327" t="s">
        <v>288</v>
      </c>
      <c r="D327">
        <v>250</v>
      </c>
      <c r="E327">
        <v>352</v>
      </c>
      <c r="F327">
        <v>88000</v>
      </c>
    </row>
    <row r="328" spans="1:6">
      <c r="A328" t="s">
        <v>612</v>
      </c>
      <c r="B328" s="33">
        <v>43282</v>
      </c>
      <c r="C328" t="s">
        <v>288</v>
      </c>
      <c r="D328">
        <v>295</v>
      </c>
      <c r="E328">
        <v>213</v>
      </c>
      <c r="F328">
        <v>62835</v>
      </c>
    </row>
    <row r="329" spans="1:6">
      <c r="A329" t="s">
        <v>613</v>
      </c>
      <c r="B329" s="33">
        <v>43282</v>
      </c>
      <c r="C329" t="s">
        <v>284</v>
      </c>
      <c r="D329">
        <v>560</v>
      </c>
      <c r="E329">
        <v>82</v>
      </c>
      <c r="F329">
        <v>45920</v>
      </c>
    </row>
    <row r="330" spans="1:6">
      <c r="A330" t="s">
        <v>614</v>
      </c>
      <c r="B330" s="33">
        <v>43282</v>
      </c>
      <c r="C330" t="s">
        <v>284</v>
      </c>
      <c r="D330">
        <v>154</v>
      </c>
      <c r="E330">
        <v>419</v>
      </c>
      <c r="F330">
        <v>64526</v>
      </c>
    </row>
    <row r="331" spans="1:6">
      <c r="A331" t="s">
        <v>615</v>
      </c>
      <c r="B331" s="33">
        <v>43282</v>
      </c>
      <c r="C331" t="s">
        <v>284</v>
      </c>
      <c r="D331">
        <v>122</v>
      </c>
      <c r="E331">
        <v>262</v>
      </c>
      <c r="F331">
        <v>31964</v>
      </c>
    </row>
    <row r="332" spans="1:6">
      <c r="A332" t="s">
        <v>616</v>
      </c>
      <c r="B332" s="33">
        <v>43282</v>
      </c>
      <c r="C332" t="s">
        <v>284</v>
      </c>
      <c r="D332">
        <v>66</v>
      </c>
      <c r="E332">
        <v>221</v>
      </c>
      <c r="F332">
        <v>14586</v>
      </c>
    </row>
    <row r="333" spans="1:6">
      <c r="A333" t="s">
        <v>617</v>
      </c>
      <c r="B333" s="33">
        <v>43282</v>
      </c>
      <c r="C333" t="s">
        <v>290</v>
      </c>
      <c r="D333">
        <v>110</v>
      </c>
      <c r="E333">
        <v>460</v>
      </c>
      <c r="F333">
        <v>50600</v>
      </c>
    </row>
    <row r="334" spans="1:6">
      <c r="A334" t="s">
        <v>618</v>
      </c>
      <c r="B334" s="33">
        <v>43282</v>
      </c>
      <c r="C334" t="s">
        <v>290</v>
      </c>
      <c r="D334">
        <v>185</v>
      </c>
      <c r="E334">
        <v>73</v>
      </c>
      <c r="F334">
        <v>13505</v>
      </c>
    </row>
    <row r="335" spans="1:6">
      <c r="A335" t="s">
        <v>619</v>
      </c>
      <c r="B335" s="33">
        <v>43282</v>
      </c>
      <c r="C335" t="s">
        <v>286</v>
      </c>
      <c r="D335">
        <v>103</v>
      </c>
      <c r="E335">
        <v>430</v>
      </c>
      <c r="F335">
        <v>44290</v>
      </c>
    </row>
    <row r="336" spans="1:6">
      <c r="A336" t="s">
        <v>620</v>
      </c>
      <c r="B336" s="33">
        <v>43282</v>
      </c>
      <c r="C336" t="s">
        <v>284</v>
      </c>
      <c r="D336">
        <v>18</v>
      </c>
      <c r="E336">
        <v>260</v>
      </c>
      <c r="F336">
        <v>4680</v>
      </c>
    </row>
    <row r="337" spans="1:6">
      <c r="A337" t="s">
        <v>621</v>
      </c>
      <c r="B337" s="33">
        <v>43283</v>
      </c>
      <c r="C337" t="s">
        <v>284</v>
      </c>
      <c r="D337">
        <v>108</v>
      </c>
      <c r="E337">
        <v>333</v>
      </c>
      <c r="F337">
        <v>35964</v>
      </c>
    </row>
    <row r="338" spans="1:6">
      <c r="A338" t="s">
        <v>622</v>
      </c>
      <c r="B338" s="33">
        <v>43283</v>
      </c>
      <c r="C338" t="s">
        <v>284</v>
      </c>
      <c r="D338">
        <v>274</v>
      </c>
      <c r="E338">
        <v>16</v>
      </c>
      <c r="F338">
        <v>4384</v>
      </c>
    </row>
    <row r="339" spans="1:6">
      <c r="A339" t="s">
        <v>623</v>
      </c>
      <c r="B339" s="33">
        <v>43283</v>
      </c>
      <c r="C339" t="s">
        <v>282</v>
      </c>
      <c r="D339">
        <v>119</v>
      </c>
      <c r="E339">
        <v>25</v>
      </c>
      <c r="F339">
        <v>2975</v>
      </c>
    </row>
    <row r="340" spans="1:6">
      <c r="A340" t="s">
        <v>624</v>
      </c>
      <c r="B340" s="33">
        <v>43283</v>
      </c>
      <c r="C340" t="s">
        <v>288</v>
      </c>
      <c r="D340">
        <v>196</v>
      </c>
      <c r="E340">
        <v>370</v>
      </c>
      <c r="F340">
        <v>72520</v>
      </c>
    </row>
    <row r="341" spans="1:6">
      <c r="A341" t="s">
        <v>625</v>
      </c>
      <c r="B341" s="33">
        <v>43283</v>
      </c>
      <c r="C341" t="s">
        <v>286</v>
      </c>
      <c r="D341">
        <v>204</v>
      </c>
      <c r="E341">
        <v>10</v>
      </c>
      <c r="F341">
        <v>2040</v>
      </c>
    </row>
    <row r="342" spans="1:6">
      <c r="A342" t="s">
        <v>626</v>
      </c>
      <c r="B342" s="33">
        <v>43283</v>
      </c>
      <c r="C342" t="s">
        <v>286</v>
      </c>
      <c r="D342">
        <v>44</v>
      </c>
      <c r="E342">
        <v>377</v>
      </c>
      <c r="F342">
        <v>16588</v>
      </c>
    </row>
    <row r="343" spans="1:6">
      <c r="A343" t="s">
        <v>627</v>
      </c>
      <c r="B343" s="33">
        <v>43283</v>
      </c>
      <c r="C343" t="s">
        <v>282</v>
      </c>
      <c r="D343">
        <v>181</v>
      </c>
      <c r="E343">
        <v>173</v>
      </c>
      <c r="F343">
        <v>31313</v>
      </c>
    </row>
    <row r="344" spans="1:6">
      <c r="A344" t="s">
        <v>628</v>
      </c>
      <c r="B344" s="33">
        <v>43284</v>
      </c>
      <c r="C344" t="s">
        <v>282</v>
      </c>
      <c r="D344">
        <v>275</v>
      </c>
      <c r="E344">
        <v>373</v>
      </c>
      <c r="F344">
        <v>102575</v>
      </c>
    </row>
    <row r="345" spans="1:6">
      <c r="A345" t="s">
        <v>629</v>
      </c>
      <c r="B345" s="33">
        <v>43284</v>
      </c>
      <c r="C345" t="s">
        <v>288</v>
      </c>
      <c r="D345">
        <v>208</v>
      </c>
      <c r="E345">
        <v>370</v>
      </c>
      <c r="F345">
        <v>76960</v>
      </c>
    </row>
    <row r="346" spans="1:6">
      <c r="A346" t="s">
        <v>630</v>
      </c>
      <c r="B346" s="33">
        <v>43284</v>
      </c>
      <c r="C346" t="s">
        <v>288</v>
      </c>
      <c r="D346">
        <v>122</v>
      </c>
      <c r="E346">
        <v>70</v>
      </c>
      <c r="F346">
        <v>8540</v>
      </c>
    </row>
    <row r="347" spans="1:6">
      <c r="A347" t="s">
        <v>631</v>
      </c>
      <c r="B347" s="33">
        <v>43284</v>
      </c>
      <c r="C347" t="s">
        <v>288</v>
      </c>
      <c r="D347">
        <v>213</v>
      </c>
      <c r="E347">
        <v>403</v>
      </c>
      <c r="F347">
        <v>85839</v>
      </c>
    </row>
    <row r="348" spans="1:6">
      <c r="A348" t="s">
        <v>632</v>
      </c>
      <c r="B348" s="33">
        <v>43284</v>
      </c>
      <c r="C348" t="s">
        <v>284</v>
      </c>
      <c r="D348">
        <v>285</v>
      </c>
      <c r="E348">
        <v>20</v>
      </c>
      <c r="F348">
        <v>5700</v>
      </c>
    </row>
    <row r="349" spans="1:6">
      <c r="A349" t="s">
        <v>633</v>
      </c>
      <c r="B349" s="33">
        <v>43284</v>
      </c>
      <c r="C349" t="s">
        <v>288</v>
      </c>
      <c r="D349">
        <v>135</v>
      </c>
      <c r="E349">
        <v>12</v>
      </c>
      <c r="F349">
        <v>1620</v>
      </c>
    </row>
    <row r="350" spans="1:6">
      <c r="A350" t="s">
        <v>634</v>
      </c>
      <c r="B350" s="33">
        <v>43284</v>
      </c>
      <c r="C350" t="s">
        <v>286</v>
      </c>
      <c r="D350">
        <v>23</v>
      </c>
      <c r="E350">
        <v>357</v>
      </c>
      <c r="F350">
        <v>8211</v>
      </c>
    </row>
    <row r="351" spans="1:6">
      <c r="A351" t="s">
        <v>635</v>
      </c>
      <c r="B351" s="33">
        <v>43284</v>
      </c>
      <c r="C351" t="s">
        <v>290</v>
      </c>
      <c r="D351">
        <v>119</v>
      </c>
      <c r="E351">
        <v>338</v>
      </c>
      <c r="F351">
        <v>40222</v>
      </c>
    </row>
    <row r="352" spans="1:6">
      <c r="A352" t="s">
        <v>636</v>
      </c>
      <c r="B352" s="33">
        <v>43284</v>
      </c>
      <c r="C352" t="s">
        <v>290</v>
      </c>
      <c r="D352">
        <v>170</v>
      </c>
      <c r="E352">
        <v>60</v>
      </c>
      <c r="F352">
        <v>10200</v>
      </c>
    </row>
    <row r="353" spans="1:6">
      <c r="A353" t="s">
        <v>637</v>
      </c>
      <c r="B353" s="33">
        <v>43284</v>
      </c>
      <c r="C353" t="s">
        <v>282</v>
      </c>
      <c r="D353">
        <v>21</v>
      </c>
      <c r="E353">
        <v>494</v>
      </c>
      <c r="F353">
        <v>10374</v>
      </c>
    </row>
    <row r="354" spans="1:6">
      <c r="A354" t="s">
        <v>638</v>
      </c>
      <c r="B354" s="33">
        <v>43284</v>
      </c>
      <c r="C354" t="s">
        <v>284</v>
      </c>
      <c r="D354">
        <v>247</v>
      </c>
      <c r="E354">
        <v>372</v>
      </c>
      <c r="F354">
        <v>91884</v>
      </c>
    </row>
    <row r="355" spans="1:6">
      <c r="A355" t="s">
        <v>639</v>
      </c>
      <c r="B355" s="33">
        <v>43284</v>
      </c>
      <c r="C355" t="s">
        <v>282</v>
      </c>
      <c r="D355">
        <v>75</v>
      </c>
      <c r="E355">
        <v>407</v>
      </c>
      <c r="F355">
        <v>30525</v>
      </c>
    </row>
    <row r="356" spans="1:6">
      <c r="A356" t="s">
        <v>640</v>
      </c>
      <c r="B356" s="33">
        <v>43284</v>
      </c>
      <c r="C356" t="s">
        <v>286</v>
      </c>
      <c r="D356">
        <v>87</v>
      </c>
      <c r="E356">
        <v>98</v>
      </c>
      <c r="F356">
        <v>8526</v>
      </c>
    </row>
    <row r="357" spans="1:6">
      <c r="A357" t="s">
        <v>641</v>
      </c>
      <c r="B357" s="33">
        <v>43285</v>
      </c>
      <c r="C357" t="s">
        <v>284</v>
      </c>
      <c r="D357">
        <v>79</v>
      </c>
      <c r="E357">
        <v>482</v>
      </c>
      <c r="F357">
        <v>38078</v>
      </c>
    </row>
    <row r="358" spans="1:6">
      <c r="A358" t="s">
        <v>642</v>
      </c>
      <c r="B358" s="33">
        <v>43285</v>
      </c>
      <c r="C358" t="s">
        <v>290</v>
      </c>
      <c r="D358">
        <v>68</v>
      </c>
      <c r="E358">
        <v>246</v>
      </c>
      <c r="F358">
        <v>16728</v>
      </c>
    </row>
    <row r="359" spans="1:6">
      <c r="A359" t="s">
        <v>643</v>
      </c>
      <c r="B359" s="33">
        <v>43285</v>
      </c>
      <c r="C359" t="s">
        <v>288</v>
      </c>
      <c r="D359">
        <v>170</v>
      </c>
      <c r="E359">
        <v>196</v>
      </c>
      <c r="F359">
        <v>33320</v>
      </c>
    </row>
    <row r="360" spans="1:6">
      <c r="A360" t="s">
        <v>644</v>
      </c>
      <c r="B360" s="33">
        <v>43285</v>
      </c>
      <c r="C360" t="s">
        <v>288</v>
      </c>
      <c r="D360">
        <v>84</v>
      </c>
      <c r="E360">
        <v>443</v>
      </c>
      <c r="F360">
        <v>37212</v>
      </c>
    </row>
    <row r="361" spans="1:6">
      <c r="A361" t="s">
        <v>645</v>
      </c>
      <c r="B361" s="33">
        <v>43285</v>
      </c>
      <c r="C361" t="s">
        <v>284</v>
      </c>
      <c r="D361">
        <v>187</v>
      </c>
      <c r="E361">
        <v>41</v>
      </c>
      <c r="F361">
        <v>7667</v>
      </c>
    </row>
    <row r="362" spans="1:6">
      <c r="A362" t="s">
        <v>646</v>
      </c>
      <c r="B362" s="33">
        <v>43285</v>
      </c>
      <c r="C362" t="s">
        <v>282</v>
      </c>
      <c r="D362">
        <v>41</v>
      </c>
      <c r="E362">
        <v>493</v>
      </c>
      <c r="F362">
        <v>20213</v>
      </c>
    </row>
    <row r="363" spans="1:6">
      <c r="A363" t="s">
        <v>647</v>
      </c>
      <c r="B363" s="33">
        <v>43285</v>
      </c>
      <c r="C363" t="s">
        <v>282</v>
      </c>
      <c r="D363">
        <v>106</v>
      </c>
      <c r="E363">
        <v>153</v>
      </c>
      <c r="F363">
        <v>16218</v>
      </c>
    </row>
    <row r="364" spans="1:6">
      <c r="A364" t="s">
        <v>648</v>
      </c>
      <c r="B364" s="33">
        <v>43285</v>
      </c>
      <c r="C364" t="s">
        <v>282</v>
      </c>
      <c r="D364">
        <v>23</v>
      </c>
      <c r="E364">
        <v>496</v>
      </c>
      <c r="F364">
        <v>11408</v>
      </c>
    </row>
    <row r="365" spans="1:6">
      <c r="A365" t="s">
        <v>649</v>
      </c>
      <c r="B365" s="33">
        <v>43285</v>
      </c>
      <c r="C365" t="s">
        <v>282</v>
      </c>
      <c r="D365">
        <v>16</v>
      </c>
      <c r="E365">
        <v>346</v>
      </c>
      <c r="F365">
        <v>5536</v>
      </c>
    </row>
    <row r="366" spans="1:6">
      <c r="A366" t="s">
        <v>650</v>
      </c>
      <c r="B366" s="33">
        <v>43286</v>
      </c>
      <c r="C366" t="s">
        <v>286</v>
      </c>
      <c r="D366">
        <v>235</v>
      </c>
      <c r="E366">
        <v>51</v>
      </c>
      <c r="F366">
        <v>11985</v>
      </c>
    </row>
    <row r="367" spans="1:6">
      <c r="A367" t="s">
        <v>651</v>
      </c>
      <c r="B367" s="33">
        <v>43286</v>
      </c>
      <c r="C367" t="s">
        <v>286</v>
      </c>
      <c r="D367">
        <v>26</v>
      </c>
      <c r="E367">
        <v>48</v>
      </c>
      <c r="F367">
        <v>1248</v>
      </c>
    </row>
    <row r="368" spans="1:6">
      <c r="A368" t="s">
        <v>652</v>
      </c>
      <c r="B368" s="33">
        <v>43286</v>
      </c>
      <c r="C368" t="s">
        <v>288</v>
      </c>
      <c r="D368">
        <v>148</v>
      </c>
      <c r="E368">
        <v>147</v>
      </c>
      <c r="F368">
        <v>21756</v>
      </c>
    </row>
    <row r="369" spans="1:6">
      <c r="A369" t="s">
        <v>653</v>
      </c>
      <c r="B369" s="33">
        <v>43286</v>
      </c>
      <c r="C369" t="s">
        <v>290</v>
      </c>
      <c r="D369">
        <v>282</v>
      </c>
      <c r="E369">
        <v>27</v>
      </c>
      <c r="F369">
        <v>7614</v>
      </c>
    </row>
    <row r="370" spans="1:6">
      <c r="A370" t="s">
        <v>654</v>
      </c>
      <c r="B370" s="33">
        <v>43286</v>
      </c>
      <c r="C370" t="s">
        <v>284</v>
      </c>
      <c r="D370">
        <v>65</v>
      </c>
      <c r="E370">
        <v>1</v>
      </c>
      <c r="F370">
        <v>65</v>
      </c>
    </row>
    <row r="371" spans="1:6">
      <c r="A371" t="s">
        <v>655</v>
      </c>
      <c r="B371" s="33">
        <v>43286</v>
      </c>
      <c r="C371" t="s">
        <v>282</v>
      </c>
      <c r="D371">
        <v>109</v>
      </c>
      <c r="E371">
        <v>37</v>
      </c>
      <c r="F371">
        <v>4033</v>
      </c>
    </row>
    <row r="372" spans="1:6">
      <c r="A372" t="s">
        <v>656</v>
      </c>
      <c r="B372" s="33">
        <v>43286</v>
      </c>
      <c r="C372" t="s">
        <v>290</v>
      </c>
      <c r="D372">
        <v>28</v>
      </c>
      <c r="E372">
        <v>119</v>
      </c>
      <c r="F372">
        <v>3332</v>
      </c>
    </row>
    <row r="373" spans="1:6">
      <c r="A373" t="s">
        <v>657</v>
      </c>
      <c r="B373" s="33">
        <v>43286</v>
      </c>
      <c r="C373" t="s">
        <v>284</v>
      </c>
      <c r="D373">
        <v>45</v>
      </c>
      <c r="E373">
        <v>31</v>
      </c>
      <c r="F373">
        <v>1395</v>
      </c>
    </row>
    <row r="374" spans="1:6">
      <c r="A374" t="s">
        <v>658</v>
      </c>
      <c r="B374" s="33">
        <v>43287</v>
      </c>
      <c r="C374" t="s">
        <v>286</v>
      </c>
      <c r="D374">
        <v>294</v>
      </c>
      <c r="E374">
        <v>106</v>
      </c>
      <c r="F374">
        <v>31164</v>
      </c>
    </row>
    <row r="375" spans="1:6">
      <c r="A375" t="s">
        <v>659</v>
      </c>
      <c r="B375" s="33">
        <v>43287</v>
      </c>
      <c r="C375" t="s">
        <v>284</v>
      </c>
      <c r="D375">
        <v>156</v>
      </c>
      <c r="E375">
        <v>205</v>
      </c>
      <c r="F375">
        <v>31980</v>
      </c>
    </row>
    <row r="376" spans="1:6">
      <c r="A376" t="s">
        <v>660</v>
      </c>
      <c r="B376" s="33">
        <v>43287</v>
      </c>
      <c r="C376" t="s">
        <v>282</v>
      </c>
      <c r="D376">
        <v>229</v>
      </c>
      <c r="E376">
        <v>55</v>
      </c>
      <c r="F376">
        <v>12595</v>
      </c>
    </row>
    <row r="377" spans="1:6">
      <c r="A377" t="s">
        <v>661</v>
      </c>
      <c r="B377" s="33">
        <v>43287</v>
      </c>
      <c r="C377" t="s">
        <v>288</v>
      </c>
      <c r="D377">
        <v>186</v>
      </c>
      <c r="E377">
        <v>390</v>
      </c>
      <c r="F377">
        <v>72540</v>
      </c>
    </row>
    <row r="378" spans="1:6">
      <c r="A378" t="s">
        <v>662</v>
      </c>
      <c r="B378" s="33">
        <v>43287</v>
      </c>
      <c r="C378" t="s">
        <v>290</v>
      </c>
      <c r="D378">
        <v>136</v>
      </c>
      <c r="E378">
        <v>73</v>
      </c>
      <c r="F378">
        <v>9928</v>
      </c>
    </row>
    <row r="379" spans="1:6">
      <c r="A379" t="s">
        <v>663</v>
      </c>
      <c r="B379" s="33">
        <v>43287</v>
      </c>
      <c r="C379" t="s">
        <v>282</v>
      </c>
      <c r="D379">
        <v>154</v>
      </c>
      <c r="E379">
        <v>311</v>
      </c>
      <c r="F379">
        <v>47894</v>
      </c>
    </row>
    <row r="380" spans="1:6">
      <c r="A380" t="s">
        <v>664</v>
      </c>
      <c r="B380" s="33">
        <v>43287</v>
      </c>
      <c r="C380" t="s">
        <v>290</v>
      </c>
      <c r="D380">
        <v>263</v>
      </c>
      <c r="E380">
        <v>492</v>
      </c>
      <c r="F380">
        <v>129396</v>
      </c>
    </row>
    <row r="381" spans="1:6">
      <c r="A381" t="s">
        <v>665</v>
      </c>
      <c r="B381" s="33">
        <v>43287</v>
      </c>
      <c r="C381" t="s">
        <v>282</v>
      </c>
      <c r="D381">
        <v>183</v>
      </c>
      <c r="E381">
        <v>245</v>
      </c>
      <c r="F381">
        <v>44835</v>
      </c>
    </row>
    <row r="382" spans="1:6">
      <c r="A382" t="s">
        <v>666</v>
      </c>
      <c r="B382" s="33">
        <v>43287</v>
      </c>
      <c r="C382" t="s">
        <v>284</v>
      </c>
      <c r="D382">
        <v>106</v>
      </c>
      <c r="E382">
        <v>97</v>
      </c>
      <c r="F382">
        <v>10282</v>
      </c>
    </row>
    <row r="383" spans="1:6">
      <c r="A383" t="s">
        <v>667</v>
      </c>
      <c r="B383" s="33">
        <v>43287</v>
      </c>
      <c r="C383" t="s">
        <v>288</v>
      </c>
      <c r="D383">
        <v>39</v>
      </c>
      <c r="E383">
        <v>66</v>
      </c>
      <c r="F383">
        <v>2574</v>
      </c>
    </row>
    <row r="384" spans="1:6">
      <c r="A384" t="s">
        <v>668</v>
      </c>
      <c r="B384" s="33">
        <v>43287</v>
      </c>
      <c r="C384" t="s">
        <v>284</v>
      </c>
      <c r="D384">
        <v>70</v>
      </c>
      <c r="E384">
        <v>91</v>
      </c>
      <c r="F384">
        <v>6370</v>
      </c>
    </row>
    <row r="385" spans="1:6">
      <c r="A385" t="s">
        <v>669</v>
      </c>
      <c r="B385" s="33">
        <v>43287</v>
      </c>
      <c r="C385" t="s">
        <v>282</v>
      </c>
      <c r="D385">
        <v>286</v>
      </c>
      <c r="E385">
        <v>9</v>
      </c>
      <c r="F385">
        <v>2574</v>
      </c>
    </row>
    <row r="386" spans="1:6">
      <c r="A386" t="s">
        <v>670</v>
      </c>
      <c r="B386" s="33">
        <v>43287</v>
      </c>
      <c r="C386" t="s">
        <v>284</v>
      </c>
      <c r="D386">
        <v>51</v>
      </c>
      <c r="E386">
        <v>345</v>
      </c>
      <c r="F386">
        <v>17595</v>
      </c>
    </row>
    <row r="387" spans="1:6">
      <c r="A387" t="s">
        <v>671</v>
      </c>
      <c r="B387" s="33">
        <v>43287</v>
      </c>
      <c r="C387" t="s">
        <v>286</v>
      </c>
      <c r="D387">
        <v>187</v>
      </c>
      <c r="E387">
        <v>407</v>
      </c>
      <c r="F387">
        <v>76109</v>
      </c>
    </row>
    <row r="388" spans="1:6">
      <c r="A388" t="s">
        <v>672</v>
      </c>
      <c r="B388" s="33">
        <v>43287</v>
      </c>
      <c r="C388" t="s">
        <v>282</v>
      </c>
      <c r="D388">
        <v>103</v>
      </c>
      <c r="E388">
        <v>242</v>
      </c>
      <c r="F388">
        <v>24926</v>
      </c>
    </row>
    <row r="389" spans="1:6">
      <c r="A389" t="s">
        <v>673</v>
      </c>
      <c r="B389" s="33">
        <v>43288</v>
      </c>
      <c r="C389" t="s">
        <v>282</v>
      </c>
      <c r="D389">
        <v>154</v>
      </c>
      <c r="E389">
        <v>21</v>
      </c>
      <c r="F389">
        <v>3234</v>
      </c>
    </row>
    <row r="390" spans="1:6">
      <c r="A390" t="s">
        <v>674</v>
      </c>
      <c r="B390" s="33">
        <v>43288</v>
      </c>
      <c r="C390" t="s">
        <v>284</v>
      </c>
      <c r="D390">
        <v>119</v>
      </c>
      <c r="E390">
        <v>18</v>
      </c>
      <c r="F390">
        <v>2142</v>
      </c>
    </row>
    <row r="391" spans="1:6">
      <c r="A391" t="s">
        <v>675</v>
      </c>
      <c r="B391" s="33">
        <v>43288</v>
      </c>
      <c r="C391" t="s">
        <v>282</v>
      </c>
      <c r="D391">
        <v>129</v>
      </c>
      <c r="E391">
        <v>34</v>
      </c>
      <c r="F391">
        <v>4386</v>
      </c>
    </row>
    <row r="392" spans="1:6">
      <c r="A392" t="s">
        <v>676</v>
      </c>
      <c r="B392" s="33">
        <v>43288</v>
      </c>
      <c r="C392" t="s">
        <v>284</v>
      </c>
      <c r="D392">
        <v>87</v>
      </c>
      <c r="E392">
        <v>29</v>
      </c>
      <c r="F392">
        <v>2523</v>
      </c>
    </row>
    <row r="393" spans="1:6">
      <c r="A393" t="s">
        <v>677</v>
      </c>
      <c r="B393" s="33">
        <v>43288</v>
      </c>
      <c r="C393" t="s">
        <v>282</v>
      </c>
      <c r="D393">
        <v>100</v>
      </c>
      <c r="E393">
        <v>95</v>
      </c>
      <c r="F393">
        <v>9500</v>
      </c>
    </row>
    <row r="394" spans="1:6">
      <c r="A394" t="s">
        <v>678</v>
      </c>
      <c r="B394" s="33">
        <v>43288</v>
      </c>
      <c r="C394" t="s">
        <v>290</v>
      </c>
      <c r="D394">
        <v>104</v>
      </c>
      <c r="E394">
        <v>182</v>
      </c>
      <c r="F394">
        <v>18928</v>
      </c>
    </row>
    <row r="395" spans="1:6">
      <c r="A395" t="s">
        <v>679</v>
      </c>
      <c r="B395" s="33">
        <v>43288</v>
      </c>
      <c r="C395" t="s">
        <v>284</v>
      </c>
      <c r="D395">
        <v>241</v>
      </c>
      <c r="E395">
        <v>317</v>
      </c>
      <c r="F395">
        <v>76397</v>
      </c>
    </row>
    <row r="396" spans="1:6">
      <c r="A396" t="s">
        <v>680</v>
      </c>
      <c r="B396" s="33">
        <v>43288</v>
      </c>
      <c r="C396" t="s">
        <v>282</v>
      </c>
      <c r="D396">
        <v>58</v>
      </c>
      <c r="E396">
        <v>15</v>
      </c>
      <c r="F396">
        <v>870</v>
      </c>
    </row>
    <row r="397" spans="1:6">
      <c r="A397" t="s">
        <v>681</v>
      </c>
      <c r="B397" s="33">
        <v>43288</v>
      </c>
      <c r="C397" t="s">
        <v>282</v>
      </c>
      <c r="D397">
        <v>249</v>
      </c>
      <c r="E397">
        <v>93</v>
      </c>
      <c r="F397">
        <v>23157</v>
      </c>
    </row>
    <row r="398" spans="1:6">
      <c r="A398" t="s">
        <v>682</v>
      </c>
      <c r="B398" s="33">
        <v>43288</v>
      </c>
      <c r="C398" t="s">
        <v>282</v>
      </c>
      <c r="D398">
        <v>213</v>
      </c>
      <c r="E398">
        <v>121</v>
      </c>
      <c r="F398">
        <v>25773</v>
      </c>
    </row>
    <row r="399" spans="1:6">
      <c r="A399" t="s">
        <v>683</v>
      </c>
      <c r="B399" s="33">
        <v>43288</v>
      </c>
      <c r="C399" t="s">
        <v>286</v>
      </c>
      <c r="D399">
        <v>20</v>
      </c>
      <c r="E399">
        <v>59</v>
      </c>
      <c r="F399">
        <v>1180</v>
      </c>
    </row>
    <row r="400" spans="1:6">
      <c r="A400" t="s">
        <v>684</v>
      </c>
      <c r="B400" s="33">
        <v>43288</v>
      </c>
      <c r="C400" t="s">
        <v>282</v>
      </c>
      <c r="D400">
        <v>143</v>
      </c>
      <c r="E400">
        <v>92</v>
      </c>
      <c r="F400">
        <v>13156</v>
      </c>
    </row>
    <row r="401" spans="1:6">
      <c r="A401" t="s">
        <v>685</v>
      </c>
      <c r="B401" s="33">
        <v>43288</v>
      </c>
      <c r="C401" t="s">
        <v>288</v>
      </c>
      <c r="D401">
        <v>99</v>
      </c>
      <c r="E401">
        <v>437</v>
      </c>
      <c r="F401">
        <v>43263</v>
      </c>
    </row>
    <row r="402" spans="1:6">
      <c r="A402" t="s">
        <v>686</v>
      </c>
      <c r="B402" s="33">
        <v>43289</v>
      </c>
      <c r="C402" t="s">
        <v>288</v>
      </c>
      <c r="D402">
        <v>102</v>
      </c>
      <c r="E402">
        <v>81</v>
      </c>
      <c r="F402">
        <v>8262</v>
      </c>
    </row>
    <row r="403" spans="1:6">
      <c r="A403" t="s">
        <v>687</v>
      </c>
      <c r="B403" s="33">
        <v>43289</v>
      </c>
      <c r="C403" t="s">
        <v>282</v>
      </c>
      <c r="D403">
        <v>202</v>
      </c>
      <c r="E403">
        <v>230</v>
      </c>
      <c r="F403">
        <v>46460</v>
      </c>
    </row>
    <row r="404" spans="1:6">
      <c r="A404" t="s">
        <v>688</v>
      </c>
      <c r="B404" s="33">
        <v>43289</v>
      </c>
      <c r="C404" t="s">
        <v>282</v>
      </c>
      <c r="D404">
        <v>160</v>
      </c>
      <c r="E404">
        <v>37</v>
      </c>
      <c r="F404">
        <v>5920</v>
      </c>
    </row>
    <row r="405" spans="1:6">
      <c r="A405" t="s">
        <v>689</v>
      </c>
      <c r="B405" s="33">
        <v>43289</v>
      </c>
      <c r="C405" t="s">
        <v>288</v>
      </c>
      <c r="D405">
        <v>228</v>
      </c>
      <c r="E405">
        <v>338</v>
      </c>
      <c r="F405">
        <v>77064</v>
      </c>
    </row>
    <row r="406" spans="1:6">
      <c r="A406" t="s">
        <v>690</v>
      </c>
      <c r="B406" s="33">
        <v>43289</v>
      </c>
      <c r="C406" t="s">
        <v>286</v>
      </c>
      <c r="D406">
        <v>28</v>
      </c>
      <c r="E406">
        <v>13</v>
      </c>
      <c r="F406">
        <v>364</v>
      </c>
    </row>
    <row r="407" spans="1:6">
      <c r="A407" t="s">
        <v>691</v>
      </c>
      <c r="B407" s="33">
        <v>43289</v>
      </c>
      <c r="C407" t="s">
        <v>282</v>
      </c>
      <c r="D407">
        <v>282</v>
      </c>
      <c r="E407">
        <v>265</v>
      </c>
      <c r="F407">
        <v>74730</v>
      </c>
    </row>
    <row r="408" spans="1:6">
      <c r="A408" t="s">
        <v>692</v>
      </c>
      <c r="B408" s="33">
        <v>43289</v>
      </c>
      <c r="C408" t="s">
        <v>288</v>
      </c>
      <c r="D408">
        <v>118</v>
      </c>
      <c r="E408">
        <v>437</v>
      </c>
      <c r="F408">
        <v>51566</v>
      </c>
    </row>
    <row r="409" spans="1:6">
      <c r="A409" t="s">
        <v>693</v>
      </c>
      <c r="B409" s="33">
        <v>43289</v>
      </c>
      <c r="C409" t="s">
        <v>286</v>
      </c>
      <c r="D409">
        <v>110</v>
      </c>
      <c r="E409">
        <v>34</v>
      </c>
      <c r="F409">
        <v>3740</v>
      </c>
    </row>
    <row r="410" spans="1:6">
      <c r="A410" t="s">
        <v>694</v>
      </c>
      <c r="B410" s="33">
        <v>43289</v>
      </c>
      <c r="C410" t="s">
        <v>290</v>
      </c>
      <c r="D410">
        <v>262</v>
      </c>
      <c r="E410">
        <v>32</v>
      </c>
      <c r="F410">
        <v>8384</v>
      </c>
    </row>
    <row r="411" spans="1:6">
      <c r="A411" t="s">
        <v>695</v>
      </c>
      <c r="B411" s="33">
        <v>43289</v>
      </c>
      <c r="C411" t="s">
        <v>286</v>
      </c>
      <c r="D411">
        <v>203</v>
      </c>
      <c r="E411">
        <v>270</v>
      </c>
      <c r="F411">
        <v>54810</v>
      </c>
    </row>
    <row r="412" spans="1:6">
      <c r="A412" t="s">
        <v>696</v>
      </c>
      <c r="B412" s="33">
        <v>43289</v>
      </c>
      <c r="C412" t="s">
        <v>282</v>
      </c>
      <c r="D412">
        <v>134</v>
      </c>
      <c r="E412">
        <v>406</v>
      </c>
      <c r="F412">
        <v>54404</v>
      </c>
    </row>
    <row r="413" spans="1:6">
      <c r="A413" t="s">
        <v>697</v>
      </c>
      <c r="B413" s="33">
        <v>43290</v>
      </c>
      <c r="C413" t="s">
        <v>288</v>
      </c>
      <c r="D413">
        <v>140</v>
      </c>
      <c r="E413">
        <v>168</v>
      </c>
      <c r="F413">
        <v>23520</v>
      </c>
    </row>
    <row r="414" spans="1:6">
      <c r="A414" t="s">
        <v>698</v>
      </c>
      <c r="B414" s="33">
        <v>43290</v>
      </c>
      <c r="C414" t="s">
        <v>290</v>
      </c>
      <c r="D414">
        <v>210</v>
      </c>
      <c r="E414">
        <v>409</v>
      </c>
      <c r="F414">
        <v>85890</v>
      </c>
    </row>
    <row r="415" spans="1:6">
      <c r="A415" t="s">
        <v>699</v>
      </c>
      <c r="B415" s="33">
        <v>43290</v>
      </c>
      <c r="C415" t="s">
        <v>282</v>
      </c>
      <c r="D415">
        <v>233</v>
      </c>
      <c r="E415">
        <v>18</v>
      </c>
      <c r="F415">
        <v>4194</v>
      </c>
    </row>
    <row r="416" spans="1:6">
      <c r="A416" t="s">
        <v>700</v>
      </c>
      <c r="B416" s="33">
        <v>43290</v>
      </c>
      <c r="C416" t="s">
        <v>282</v>
      </c>
      <c r="D416">
        <v>147</v>
      </c>
      <c r="E416">
        <v>267</v>
      </c>
      <c r="F416">
        <v>39249</v>
      </c>
    </row>
    <row r="417" spans="1:6">
      <c r="A417" t="s">
        <v>701</v>
      </c>
      <c r="B417" s="33">
        <v>43290</v>
      </c>
      <c r="C417" t="s">
        <v>288</v>
      </c>
      <c r="D417">
        <v>92</v>
      </c>
      <c r="E417">
        <v>385</v>
      </c>
      <c r="F417">
        <v>35420</v>
      </c>
    </row>
    <row r="418" spans="1:6">
      <c r="A418" t="s">
        <v>702</v>
      </c>
      <c r="B418" s="33">
        <v>43290</v>
      </c>
      <c r="C418" t="s">
        <v>288</v>
      </c>
      <c r="D418">
        <v>135</v>
      </c>
      <c r="E418">
        <v>468</v>
      </c>
      <c r="F418">
        <v>63180</v>
      </c>
    </row>
    <row r="419" spans="1:6">
      <c r="A419" t="s">
        <v>703</v>
      </c>
      <c r="B419" s="33">
        <v>43291</v>
      </c>
      <c r="C419" t="s">
        <v>286</v>
      </c>
      <c r="D419">
        <v>151</v>
      </c>
      <c r="E419">
        <v>163</v>
      </c>
      <c r="F419">
        <v>24613</v>
      </c>
    </row>
    <row r="420" spans="1:6">
      <c r="A420" t="s">
        <v>704</v>
      </c>
      <c r="B420" s="33">
        <v>43291</v>
      </c>
      <c r="C420" t="s">
        <v>290</v>
      </c>
      <c r="D420">
        <v>27</v>
      </c>
      <c r="E420">
        <v>98</v>
      </c>
      <c r="F420">
        <v>2646</v>
      </c>
    </row>
    <row r="421" spans="1:6">
      <c r="A421" t="s">
        <v>705</v>
      </c>
      <c r="B421" s="33">
        <v>43291</v>
      </c>
      <c r="C421" t="s">
        <v>290</v>
      </c>
      <c r="D421">
        <v>114</v>
      </c>
      <c r="E421">
        <v>34</v>
      </c>
      <c r="F421">
        <v>3876</v>
      </c>
    </row>
    <row r="422" spans="1:6">
      <c r="A422" t="s">
        <v>706</v>
      </c>
      <c r="B422" s="33">
        <v>43291</v>
      </c>
      <c r="C422" t="s">
        <v>282</v>
      </c>
      <c r="D422">
        <v>269</v>
      </c>
      <c r="E422">
        <v>176</v>
      </c>
      <c r="F422">
        <v>47344</v>
      </c>
    </row>
    <row r="423" spans="1:6">
      <c r="A423" t="s">
        <v>707</v>
      </c>
      <c r="B423" s="33">
        <v>43291</v>
      </c>
      <c r="C423" t="s">
        <v>286</v>
      </c>
      <c r="D423">
        <v>213</v>
      </c>
      <c r="E423">
        <v>279</v>
      </c>
      <c r="F423">
        <v>59427</v>
      </c>
    </row>
    <row r="424" spans="1:6">
      <c r="A424" t="s">
        <v>708</v>
      </c>
      <c r="B424" s="33">
        <v>43291</v>
      </c>
      <c r="C424" t="s">
        <v>284</v>
      </c>
      <c r="D424">
        <v>53</v>
      </c>
      <c r="E424">
        <v>68</v>
      </c>
      <c r="F424">
        <v>3604</v>
      </c>
    </row>
    <row r="425" spans="1:6">
      <c r="A425" t="s">
        <v>709</v>
      </c>
      <c r="B425" s="33">
        <v>43291</v>
      </c>
      <c r="C425" t="s">
        <v>282</v>
      </c>
      <c r="D425">
        <v>298</v>
      </c>
      <c r="E425">
        <v>367</v>
      </c>
      <c r="F425">
        <v>109366</v>
      </c>
    </row>
    <row r="426" spans="1:6">
      <c r="A426" t="s">
        <v>710</v>
      </c>
      <c r="B426" s="33">
        <v>43291</v>
      </c>
      <c r="C426" t="s">
        <v>284</v>
      </c>
      <c r="D426">
        <v>42</v>
      </c>
      <c r="E426">
        <v>173</v>
      </c>
      <c r="F426">
        <v>7266</v>
      </c>
    </row>
    <row r="427" spans="1:6">
      <c r="A427" t="s">
        <v>711</v>
      </c>
      <c r="B427" s="33">
        <v>43291</v>
      </c>
      <c r="C427" t="s">
        <v>286</v>
      </c>
      <c r="D427">
        <v>295</v>
      </c>
      <c r="E427">
        <v>80</v>
      </c>
      <c r="F427">
        <v>23600</v>
      </c>
    </row>
    <row r="428" spans="1:6">
      <c r="A428" t="s">
        <v>712</v>
      </c>
      <c r="B428" s="33">
        <v>43291</v>
      </c>
      <c r="C428" t="s">
        <v>282</v>
      </c>
      <c r="D428">
        <v>157</v>
      </c>
      <c r="E428">
        <v>155</v>
      </c>
      <c r="F428">
        <v>24335</v>
      </c>
    </row>
    <row r="429" spans="1:6">
      <c r="A429" t="s">
        <v>713</v>
      </c>
      <c r="B429" s="33">
        <v>43291</v>
      </c>
      <c r="C429" t="s">
        <v>290</v>
      </c>
      <c r="D429">
        <v>68</v>
      </c>
      <c r="E429">
        <v>138</v>
      </c>
      <c r="F429">
        <v>9384</v>
      </c>
    </row>
    <row r="430" spans="1:6">
      <c r="A430" t="s">
        <v>714</v>
      </c>
      <c r="B430" s="33">
        <v>43291</v>
      </c>
      <c r="C430" t="s">
        <v>286</v>
      </c>
      <c r="D430">
        <v>146</v>
      </c>
      <c r="E430">
        <v>31</v>
      </c>
      <c r="F430">
        <v>4526</v>
      </c>
    </row>
    <row r="431" spans="1:6">
      <c r="A431" t="s">
        <v>715</v>
      </c>
      <c r="B431" s="33">
        <v>43291</v>
      </c>
      <c r="C431" t="s">
        <v>282</v>
      </c>
      <c r="D431">
        <v>267</v>
      </c>
      <c r="E431">
        <v>87</v>
      </c>
      <c r="F431">
        <v>23229</v>
      </c>
    </row>
    <row r="432" spans="1:6">
      <c r="A432" t="s">
        <v>716</v>
      </c>
      <c r="B432" s="33">
        <v>43291</v>
      </c>
      <c r="C432" t="s">
        <v>288</v>
      </c>
      <c r="D432">
        <v>68</v>
      </c>
      <c r="E432">
        <v>138</v>
      </c>
      <c r="F432">
        <v>9384</v>
      </c>
    </row>
    <row r="433" spans="1:6">
      <c r="A433" t="s">
        <v>717</v>
      </c>
      <c r="B433" s="33">
        <v>43291</v>
      </c>
      <c r="C433" t="s">
        <v>286</v>
      </c>
      <c r="D433">
        <v>227</v>
      </c>
      <c r="E433">
        <v>267</v>
      </c>
      <c r="F433">
        <v>60609</v>
      </c>
    </row>
    <row r="434" spans="1:6">
      <c r="A434" t="s">
        <v>718</v>
      </c>
      <c r="B434" s="33">
        <v>43291</v>
      </c>
      <c r="C434" t="s">
        <v>290</v>
      </c>
      <c r="D434">
        <v>228</v>
      </c>
      <c r="E434">
        <v>467</v>
      </c>
      <c r="F434">
        <v>106476</v>
      </c>
    </row>
    <row r="435" spans="1:6">
      <c r="A435" t="s">
        <v>719</v>
      </c>
      <c r="B435" s="33">
        <v>43291</v>
      </c>
      <c r="C435" t="s">
        <v>282</v>
      </c>
      <c r="D435">
        <v>87</v>
      </c>
      <c r="E435">
        <v>359</v>
      </c>
      <c r="F435">
        <v>31233</v>
      </c>
    </row>
    <row r="436" spans="1:6">
      <c r="A436" t="s">
        <v>720</v>
      </c>
      <c r="B436" s="33">
        <v>43291</v>
      </c>
      <c r="C436" t="s">
        <v>290</v>
      </c>
      <c r="D436">
        <v>80</v>
      </c>
      <c r="E436">
        <v>492</v>
      </c>
      <c r="F436">
        <v>39360</v>
      </c>
    </row>
    <row r="437" spans="1:6">
      <c r="A437" t="s">
        <v>721</v>
      </c>
      <c r="B437" s="33">
        <v>43291</v>
      </c>
      <c r="C437" t="s">
        <v>286</v>
      </c>
      <c r="D437">
        <v>99</v>
      </c>
      <c r="E437">
        <v>336</v>
      </c>
      <c r="F437">
        <v>33264</v>
      </c>
    </row>
    <row r="438" spans="1:6">
      <c r="A438" t="s">
        <v>722</v>
      </c>
      <c r="B438" s="33">
        <v>43292</v>
      </c>
      <c r="C438" t="s">
        <v>284</v>
      </c>
      <c r="D438">
        <v>96</v>
      </c>
      <c r="E438">
        <v>473</v>
      </c>
      <c r="F438">
        <v>45408</v>
      </c>
    </row>
    <row r="439" spans="1:6">
      <c r="A439" t="s">
        <v>723</v>
      </c>
      <c r="B439" s="33">
        <v>43292</v>
      </c>
      <c r="C439" t="s">
        <v>286</v>
      </c>
      <c r="D439">
        <v>23</v>
      </c>
      <c r="E439">
        <v>351</v>
      </c>
      <c r="F439">
        <v>8073</v>
      </c>
    </row>
    <row r="440" spans="1:6">
      <c r="A440" t="s">
        <v>724</v>
      </c>
      <c r="B440" s="33">
        <v>43292</v>
      </c>
      <c r="C440" t="s">
        <v>284</v>
      </c>
      <c r="D440">
        <v>72</v>
      </c>
      <c r="E440">
        <v>95</v>
      </c>
      <c r="F440">
        <v>6840</v>
      </c>
    </row>
    <row r="441" spans="1:6">
      <c r="A441" t="s">
        <v>725</v>
      </c>
      <c r="B441" s="33">
        <v>43292</v>
      </c>
      <c r="C441" t="s">
        <v>284</v>
      </c>
      <c r="D441">
        <v>30</v>
      </c>
      <c r="E441">
        <v>297</v>
      </c>
      <c r="F441">
        <v>8910</v>
      </c>
    </row>
    <row r="442" spans="1:6">
      <c r="A442" t="s">
        <v>726</v>
      </c>
      <c r="B442" s="33">
        <v>43292</v>
      </c>
      <c r="C442" t="s">
        <v>286</v>
      </c>
      <c r="D442">
        <v>83</v>
      </c>
      <c r="E442">
        <v>2</v>
      </c>
      <c r="F442">
        <v>166</v>
      </c>
    </row>
    <row r="443" spans="1:6">
      <c r="A443" t="s">
        <v>727</v>
      </c>
      <c r="B443" s="33">
        <v>43292</v>
      </c>
      <c r="C443" t="s">
        <v>282</v>
      </c>
      <c r="D443">
        <v>263</v>
      </c>
      <c r="E443">
        <v>133</v>
      </c>
      <c r="F443">
        <v>34979</v>
      </c>
    </row>
    <row r="444" spans="1:6">
      <c r="A444" t="s">
        <v>728</v>
      </c>
      <c r="B444" s="33">
        <v>43292</v>
      </c>
      <c r="C444" t="s">
        <v>286</v>
      </c>
      <c r="D444">
        <v>61</v>
      </c>
      <c r="E444">
        <v>29</v>
      </c>
      <c r="F444">
        <v>1769</v>
      </c>
    </row>
    <row r="445" spans="1:6">
      <c r="A445" t="s">
        <v>729</v>
      </c>
      <c r="B445" s="33">
        <v>43293</v>
      </c>
      <c r="C445" t="s">
        <v>286</v>
      </c>
      <c r="D445">
        <v>206</v>
      </c>
      <c r="E445">
        <v>85</v>
      </c>
      <c r="F445">
        <v>17510</v>
      </c>
    </row>
    <row r="446" spans="1:6">
      <c r="A446" t="s">
        <v>730</v>
      </c>
      <c r="B446" s="33">
        <v>43293</v>
      </c>
      <c r="C446" t="s">
        <v>282</v>
      </c>
      <c r="D446">
        <v>287</v>
      </c>
      <c r="E446">
        <v>115</v>
      </c>
      <c r="F446">
        <v>33005</v>
      </c>
    </row>
    <row r="447" spans="1:6">
      <c r="A447" t="s">
        <v>731</v>
      </c>
      <c r="B447" s="33">
        <v>43293</v>
      </c>
      <c r="C447" t="s">
        <v>282</v>
      </c>
      <c r="D447">
        <v>237</v>
      </c>
      <c r="E447">
        <v>289</v>
      </c>
      <c r="F447">
        <v>68493</v>
      </c>
    </row>
    <row r="448" spans="1:6">
      <c r="A448" t="s">
        <v>732</v>
      </c>
      <c r="B448" s="33">
        <v>43293</v>
      </c>
      <c r="C448" t="s">
        <v>284</v>
      </c>
      <c r="D448">
        <v>123</v>
      </c>
      <c r="E448">
        <v>23</v>
      </c>
      <c r="F448">
        <v>2829</v>
      </c>
    </row>
    <row r="449" spans="1:6">
      <c r="A449" t="s">
        <v>733</v>
      </c>
      <c r="B449" s="33">
        <v>43293</v>
      </c>
      <c r="C449" t="s">
        <v>288</v>
      </c>
      <c r="D449">
        <v>241</v>
      </c>
      <c r="E449">
        <v>246</v>
      </c>
      <c r="F449">
        <v>59286</v>
      </c>
    </row>
    <row r="450" spans="1:6">
      <c r="A450" t="s">
        <v>734</v>
      </c>
      <c r="B450" s="33">
        <v>43293</v>
      </c>
      <c r="C450" t="s">
        <v>290</v>
      </c>
      <c r="D450">
        <v>19</v>
      </c>
      <c r="E450">
        <v>59</v>
      </c>
      <c r="F450">
        <v>1121</v>
      </c>
    </row>
    <row r="451" spans="1:6">
      <c r="A451" t="s">
        <v>735</v>
      </c>
      <c r="B451" s="33">
        <v>43293</v>
      </c>
      <c r="C451" t="s">
        <v>282</v>
      </c>
      <c r="D451">
        <v>282</v>
      </c>
      <c r="E451">
        <v>229</v>
      </c>
      <c r="F451">
        <v>64578</v>
      </c>
    </row>
    <row r="452" spans="1:6">
      <c r="A452" t="s">
        <v>736</v>
      </c>
      <c r="B452" s="33">
        <v>43294</v>
      </c>
      <c r="C452" t="s">
        <v>284</v>
      </c>
      <c r="D452">
        <v>107</v>
      </c>
      <c r="E452">
        <v>365</v>
      </c>
      <c r="F452">
        <v>39055</v>
      </c>
    </row>
    <row r="453" spans="1:6">
      <c r="A453" t="s">
        <v>737</v>
      </c>
      <c r="B453" s="33">
        <v>43294</v>
      </c>
      <c r="C453" t="s">
        <v>284</v>
      </c>
      <c r="D453">
        <v>25</v>
      </c>
      <c r="E453">
        <v>77</v>
      </c>
      <c r="F453">
        <v>1925</v>
      </c>
    </row>
    <row r="454" spans="1:6">
      <c r="A454" t="s">
        <v>738</v>
      </c>
      <c r="B454" s="33">
        <v>43294</v>
      </c>
      <c r="C454" t="s">
        <v>288</v>
      </c>
      <c r="D454">
        <v>48</v>
      </c>
      <c r="E454">
        <v>35</v>
      </c>
      <c r="F454">
        <v>1680</v>
      </c>
    </row>
    <row r="455" spans="1:6">
      <c r="A455" t="s">
        <v>739</v>
      </c>
      <c r="B455" s="33">
        <v>43294</v>
      </c>
      <c r="C455" t="s">
        <v>286</v>
      </c>
      <c r="D455">
        <v>180</v>
      </c>
      <c r="E455">
        <v>126</v>
      </c>
      <c r="F455">
        <v>22680</v>
      </c>
    </row>
    <row r="456" spans="1:6">
      <c r="A456" t="s">
        <v>740</v>
      </c>
      <c r="B456" s="33">
        <v>43294</v>
      </c>
      <c r="C456" t="s">
        <v>286</v>
      </c>
      <c r="D456">
        <v>11</v>
      </c>
      <c r="E456">
        <v>336</v>
      </c>
      <c r="F456">
        <v>3696</v>
      </c>
    </row>
    <row r="457" spans="1:6">
      <c r="A457" t="s">
        <v>741</v>
      </c>
      <c r="B457" s="33">
        <v>43294</v>
      </c>
      <c r="C457" t="s">
        <v>288</v>
      </c>
      <c r="D457">
        <v>291</v>
      </c>
      <c r="E457">
        <v>284</v>
      </c>
      <c r="F457">
        <v>82644</v>
      </c>
    </row>
    <row r="458" spans="1:6">
      <c r="A458" t="s">
        <v>742</v>
      </c>
      <c r="B458" s="33">
        <v>43294</v>
      </c>
      <c r="C458" t="s">
        <v>286</v>
      </c>
      <c r="D458">
        <v>269</v>
      </c>
      <c r="E458">
        <v>63</v>
      </c>
      <c r="F458">
        <v>16947</v>
      </c>
    </row>
    <row r="459" spans="1:6">
      <c r="A459" t="s">
        <v>743</v>
      </c>
      <c r="B459" s="33">
        <v>43294</v>
      </c>
      <c r="C459" t="s">
        <v>282</v>
      </c>
      <c r="D459">
        <v>93</v>
      </c>
      <c r="E459">
        <v>421</v>
      </c>
      <c r="F459">
        <v>39153</v>
      </c>
    </row>
    <row r="460" spans="1:6">
      <c r="A460" t="s">
        <v>744</v>
      </c>
      <c r="B460" s="33">
        <v>43294</v>
      </c>
      <c r="C460" t="s">
        <v>288</v>
      </c>
      <c r="D460">
        <v>87</v>
      </c>
      <c r="E460">
        <v>61</v>
      </c>
      <c r="F460">
        <v>5307</v>
      </c>
    </row>
    <row r="461" spans="1:6">
      <c r="A461" t="s">
        <v>745</v>
      </c>
      <c r="B461" s="33">
        <v>43294</v>
      </c>
      <c r="C461" t="s">
        <v>288</v>
      </c>
      <c r="D461">
        <v>290</v>
      </c>
      <c r="E461">
        <v>241</v>
      </c>
      <c r="F461">
        <v>69890</v>
      </c>
    </row>
    <row r="462" spans="1:6">
      <c r="A462" t="s">
        <v>746</v>
      </c>
      <c r="B462" s="33">
        <v>43295</v>
      </c>
      <c r="C462" t="s">
        <v>282</v>
      </c>
      <c r="D462">
        <v>31</v>
      </c>
      <c r="E462">
        <v>54</v>
      </c>
      <c r="F462">
        <v>1674</v>
      </c>
    </row>
    <row r="463" spans="1:6">
      <c r="A463" t="s">
        <v>747</v>
      </c>
      <c r="B463" s="33">
        <v>43295</v>
      </c>
      <c r="C463" t="s">
        <v>286</v>
      </c>
      <c r="D463">
        <v>142</v>
      </c>
      <c r="E463">
        <v>41</v>
      </c>
      <c r="F463">
        <v>5822</v>
      </c>
    </row>
    <row r="464" spans="1:6">
      <c r="A464" t="s">
        <v>748</v>
      </c>
      <c r="B464" s="33">
        <v>43295</v>
      </c>
      <c r="C464" t="s">
        <v>284</v>
      </c>
      <c r="D464">
        <v>83</v>
      </c>
      <c r="E464">
        <v>489</v>
      </c>
      <c r="F464">
        <v>40587</v>
      </c>
    </row>
    <row r="465" spans="1:6">
      <c r="A465" t="s">
        <v>749</v>
      </c>
      <c r="B465" s="33">
        <v>43295</v>
      </c>
      <c r="C465" t="s">
        <v>284</v>
      </c>
      <c r="D465">
        <v>228</v>
      </c>
      <c r="E465">
        <v>335</v>
      </c>
      <c r="F465">
        <v>76380</v>
      </c>
    </row>
    <row r="466" spans="1:6">
      <c r="A466" t="s">
        <v>750</v>
      </c>
      <c r="B466" s="33">
        <v>43295</v>
      </c>
      <c r="C466" t="s">
        <v>288</v>
      </c>
      <c r="D466">
        <v>274</v>
      </c>
      <c r="E466">
        <v>340</v>
      </c>
      <c r="F466">
        <v>93160</v>
      </c>
    </row>
    <row r="467" spans="1:6">
      <c r="A467" t="s">
        <v>751</v>
      </c>
      <c r="B467" s="33">
        <v>43295</v>
      </c>
      <c r="C467" t="s">
        <v>282</v>
      </c>
      <c r="D467">
        <v>220</v>
      </c>
      <c r="E467">
        <v>285</v>
      </c>
      <c r="F467">
        <v>62700</v>
      </c>
    </row>
    <row r="468" spans="1:6">
      <c r="A468" t="s">
        <v>752</v>
      </c>
      <c r="B468" s="33">
        <v>43295</v>
      </c>
      <c r="C468" t="s">
        <v>282</v>
      </c>
      <c r="D468">
        <v>65</v>
      </c>
      <c r="E468">
        <v>96</v>
      </c>
      <c r="F468">
        <v>6240</v>
      </c>
    </row>
    <row r="469" spans="1:6">
      <c r="A469" t="s">
        <v>753</v>
      </c>
      <c r="B469" s="33">
        <v>43295</v>
      </c>
      <c r="C469" t="s">
        <v>288</v>
      </c>
      <c r="D469">
        <v>51</v>
      </c>
      <c r="E469">
        <v>202</v>
      </c>
      <c r="F469">
        <v>10302</v>
      </c>
    </row>
    <row r="470" spans="1:6">
      <c r="A470" t="s">
        <v>754</v>
      </c>
      <c r="B470" s="33">
        <v>43295</v>
      </c>
      <c r="C470" t="s">
        <v>290</v>
      </c>
      <c r="D470">
        <v>29</v>
      </c>
      <c r="E470">
        <v>111</v>
      </c>
      <c r="F470">
        <v>3219</v>
      </c>
    </row>
    <row r="471" spans="1:6">
      <c r="A471" t="s">
        <v>755</v>
      </c>
      <c r="B471" s="33">
        <v>43295</v>
      </c>
      <c r="C471" t="s">
        <v>290</v>
      </c>
      <c r="D471">
        <v>284</v>
      </c>
      <c r="E471">
        <v>75</v>
      </c>
      <c r="F471">
        <v>21300</v>
      </c>
    </row>
    <row r="472" spans="1:6">
      <c r="A472" t="s">
        <v>756</v>
      </c>
      <c r="B472" s="33">
        <v>43295</v>
      </c>
      <c r="C472" t="s">
        <v>288</v>
      </c>
      <c r="D472">
        <v>158</v>
      </c>
      <c r="E472">
        <v>198</v>
      </c>
      <c r="F472">
        <v>31284</v>
      </c>
    </row>
    <row r="473" spans="1:6">
      <c r="A473" t="s">
        <v>757</v>
      </c>
      <c r="B473" s="33">
        <v>43296</v>
      </c>
      <c r="C473" t="s">
        <v>288</v>
      </c>
      <c r="D473">
        <v>135</v>
      </c>
      <c r="E473">
        <v>33</v>
      </c>
      <c r="F473">
        <v>4455</v>
      </c>
    </row>
    <row r="474" spans="1:6">
      <c r="A474" t="s">
        <v>758</v>
      </c>
      <c r="B474" s="33">
        <v>43296</v>
      </c>
      <c r="C474" t="s">
        <v>286</v>
      </c>
      <c r="D474">
        <v>229</v>
      </c>
      <c r="E474">
        <v>218</v>
      </c>
      <c r="F474">
        <v>49922</v>
      </c>
    </row>
    <row r="475" spans="1:6">
      <c r="A475" t="s">
        <v>759</v>
      </c>
      <c r="B475" s="33">
        <v>43296</v>
      </c>
      <c r="C475" t="s">
        <v>288</v>
      </c>
      <c r="D475">
        <v>65</v>
      </c>
      <c r="E475">
        <v>434</v>
      </c>
      <c r="F475">
        <v>28210</v>
      </c>
    </row>
    <row r="476" spans="1:6">
      <c r="A476" t="s">
        <v>760</v>
      </c>
      <c r="B476" s="33">
        <v>43296</v>
      </c>
      <c r="C476" t="s">
        <v>284</v>
      </c>
      <c r="D476">
        <v>130</v>
      </c>
      <c r="E476">
        <v>235</v>
      </c>
      <c r="F476">
        <v>30550</v>
      </c>
    </row>
    <row r="477" spans="1:6">
      <c r="A477" t="s">
        <v>761</v>
      </c>
      <c r="B477" s="33">
        <v>43296</v>
      </c>
      <c r="C477" t="s">
        <v>290</v>
      </c>
      <c r="D477">
        <v>100</v>
      </c>
      <c r="E477">
        <v>83</v>
      </c>
      <c r="F477">
        <v>8300</v>
      </c>
    </row>
    <row r="478" spans="1:6">
      <c r="A478" t="s">
        <v>762</v>
      </c>
      <c r="B478" s="33">
        <v>43296</v>
      </c>
      <c r="C478" t="s">
        <v>284</v>
      </c>
      <c r="D478">
        <v>172</v>
      </c>
      <c r="E478">
        <v>59</v>
      </c>
      <c r="F478">
        <v>10148</v>
      </c>
    </row>
    <row r="479" spans="1:6">
      <c r="A479" t="s">
        <v>763</v>
      </c>
      <c r="B479" s="33">
        <v>43296</v>
      </c>
      <c r="C479" t="s">
        <v>290</v>
      </c>
      <c r="D479">
        <v>60</v>
      </c>
      <c r="E479">
        <v>89</v>
      </c>
      <c r="F479">
        <v>5340</v>
      </c>
    </row>
    <row r="480" spans="1:6">
      <c r="A480" t="s">
        <v>764</v>
      </c>
      <c r="B480" s="33">
        <v>43296</v>
      </c>
      <c r="C480" t="s">
        <v>288</v>
      </c>
      <c r="D480">
        <v>174</v>
      </c>
      <c r="E480">
        <v>361</v>
      </c>
      <c r="F480">
        <v>62814</v>
      </c>
    </row>
    <row r="481" spans="1:6">
      <c r="A481" t="s">
        <v>765</v>
      </c>
      <c r="B481" s="33">
        <v>43296</v>
      </c>
      <c r="C481" t="s">
        <v>282</v>
      </c>
      <c r="D481">
        <v>40</v>
      </c>
      <c r="E481">
        <v>367</v>
      </c>
      <c r="F481">
        <v>14680</v>
      </c>
    </row>
    <row r="482" spans="1:6">
      <c r="A482" t="s">
        <v>766</v>
      </c>
      <c r="B482" s="33">
        <v>43296</v>
      </c>
      <c r="C482" t="s">
        <v>286</v>
      </c>
      <c r="D482">
        <v>86</v>
      </c>
      <c r="E482">
        <v>473</v>
      </c>
      <c r="F482">
        <v>40678</v>
      </c>
    </row>
    <row r="483" spans="1:6">
      <c r="A483" t="s">
        <v>767</v>
      </c>
      <c r="B483" s="33">
        <v>43296</v>
      </c>
      <c r="C483" t="s">
        <v>288</v>
      </c>
      <c r="D483">
        <v>300</v>
      </c>
      <c r="E483">
        <v>151</v>
      </c>
      <c r="F483">
        <v>45300</v>
      </c>
    </row>
    <row r="484" spans="1:6">
      <c r="A484" t="s">
        <v>768</v>
      </c>
      <c r="B484" s="33">
        <v>43296</v>
      </c>
      <c r="C484" t="s">
        <v>288</v>
      </c>
      <c r="D484">
        <v>268</v>
      </c>
      <c r="E484">
        <v>214</v>
      </c>
      <c r="F484">
        <v>57352</v>
      </c>
    </row>
    <row r="485" spans="1:6">
      <c r="A485" t="s">
        <v>769</v>
      </c>
      <c r="B485" s="33">
        <v>43296</v>
      </c>
      <c r="C485" t="s">
        <v>290</v>
      </c>
      <c r="D485">
        <v>133</v>
      </c>
      <c r="E485">
        <v>353</v>
      </c>
      <c r="F485">
        <v>46949</v>
      </c>
    </row>
    <row r="486" spans="1:6">
      <c r="A486" t="s">
        <v>770</v>
      </c>
      <c r="B486" s="33">
        <v>43296</v>
      </c>
      <c r="C486" t="s">
        <v>286</v>
      </c>
      <c r="D486">
        <v>10</v>
      </c>
      <c r="E486">
        <v>384</v>
      </c>
      <c r="F486">
        <v>3840</v>
      </c>
    </row>
    <row r="487" spans="1:6">
      <c r="A487" t="s">
        <v>771</v>
      </c>
      <c r="B487" s="33">
        <v>43296</v>
      </c>
      <c r="C487" t="s">
        <v>282</v>
      </c>
      <c r="D487">
        <v>196</v>
      </c>
      <c r="E487">
        <v>379</v>
      </c>
      <c r="F487">
        <v>74284</v>
      </c>
    </row>
    <row r="488" spans="1:6">
      <c r="A488" t="s">
        <v>772</v>
      </c>
      <c r="B488" s="33">
        <v>43297</v>
      </c>
      <c r="C488" t="s">
        <v>290</v>
      </c>
      <c r="D488">
        <v>291</v>
      </c>
      <c r="E488">
        <v>69</v>
      </c>
      <c r="F488">
        <v>20079</v>
      </c>
    </row>
    <row r="489" spans="1:6">
      <c r="A489" t="s">
        <v>773</v>
      </c>
      <c r="B489" s="33">
        <v>43297</v>
      </c>
      <c r="C489" t="s">
        <v>290</v>
      </c>
      <c r="D489">
        <v>163</v>
      </c>
      <c r="E489">
        <v>141</v>
      </c>
      <c r="F489">
        <v>22983</v>
      </c>
    </row>
    <row r="490" spans="1:6">
      <c r="A490" t="s">
        <v>774</v>
      </c>
      <c r="B490" s="33">
        <v>43297</v>
      </c>
      <c r="C490" t="s">
        <v>288</v>
      </c>
      <c r="D490">
        <v>50</v>
      </c>
      <c r="E490">
        <v>12</v>
      </c>
      <c r="F490">
        <v>600</v>
      </c>
    </row>
    <row r="491" spans="1:6">
      <c r="A491" t="s">
        <v>775</v>
      </c>
      <c r="B491" s="33">
        <v>43297</v>
      </c>
      <c r="C491" t="s">
        <v>286</v>
      </c>
      <c r="D491">
        <v>294</v>
      </c>
      <c r="E491">
        <v>487</v>
      </c>
      <c r="F491">
        <v>143178</v>
      </c>
    </row>
    <row r="492" spans="1:6">
      <c r="A492" t="s">
        <v>776</v>
      </c>
      <c r="B492" s="33">
        <v>43297</v>
      </c>
      <c r="C492" t="s">
        <v>286</v>
      </c>
      <c r="D492">
        <v>42</v>
      </c>
      <c r="E492">
        <v>374</v>
      </c>
      <c r="F492">
        <v>15708</v>
      </c>
    </row>
    <row r="493" spans="1:6">
      <c r="A493" t="s">
        <v>777</v>
      </c>
      <c r="B493" s="33">
        <v>43297</v>
      </c>
      <c r="C493" t="s">
        <v>286</v>
      </c>
      <c r="D493">
        <v>203</v>
      </c>
      <c r="E493">
        <v>293</v>
      </c>
      <c r="F493">
        <v>59479</v>
      </c>
    </row>
    <row r="494" spans="1:6">
      <c r="A494" t="s">
        <v>778</v>
      </c>
      <c r="B494" s="33">
        <v>43297</v>
      </c>
      <c r="C494" t="s">
        <v>284</v>
      </c>
      <c r="D494">
        <v>223</v>
      </c>
      <c r="E494">
        <v>457</v>
      </c>
      <c r="F494">
        <v>101911</v>
      </c>
    </row>
    <row r="495" spans="1:6">
      <c r="A495" t="s">
        <v>779</v>
      </c>
      <c r="B495" s="33">
        <v>43297</v>
      </c>
      <c r="C495" t="s">
        <v>286</v>
      </c>
      <c r="D495">
        <v>283</v>
      </c>
      <c r="E495">
        <v>340</v>
      </c>
      <c r="F495">
        <v>96220</v>
      </c>
    </row>
    <row r="496" spans="1:6">
      <c r="A496" t="s">
        <v>780</v>
      </c>
      <c r="B496" s="33">
        <v>43297</v>
      </c>
      <c r="C496" t="s">
        <v>288</v>
      </c>
      <c r="D496">
        <v>11</v>
      </c>
      <c r="E496">
        <v>406</v>
      </c>
      <c r="F496">
        <v>4466</v>
      </c>
    </row>
    <row r="497" spans="1:6">
      <c r="A497" t="s">
        <v>781</v>
      </c>
      <c r="B497" s="33">
        <v>43297</v>
      </c>
      <c r="C497" t="s">
        <v>288</v>
      </c>
      <c r="D497">
        <v>175</v>
      </c>
      <c r="E497">
        <v>249</v>
      </c>
      <c r="F497">
        <v>43575</v>
      </c>
    </row>
    <row r="498" spans="1:6">
      <c r="A498" t="s">
        <v>782</v>
      </c>
      <c r="B498" s="33">
        <v>43297</v>
      </c>
      <c r="C498" t="s">
        <v>288</v>
      </c>
      <c r="D498">
        <v>260</v>
      </c>
      <c r="E498">
        <v>423</v>
      </c>
      <c r="F498">
        <v>109980</v>
      </c>
    </row>
    <row r="499" spans="1:6">
      <c r="A499" t="s">
        <v>783</v>
      </c>
      <c r="B499" s="33">
        <v>43298</v>
      </c>
      <c r="C499" t="s">
        <v>284</v>
      </c>
      <c r="D499">
        <v>105</v>
      </c>
      <c r="E499">
        <v>30</v>
      </c>
      <c r="F499">
        <v>3150</v>
      </c>
    </row>
    <row r="500" spans="1:6">
      <c r="A500" t="s">
        <v>784</v>
      </c>
      <c r="B500" s="33">
        <v>43298</v>
      </c>
      <c r="C500" t="s">
        <v>282</v>
      </c>
      <c r="D500">
        <v>245</v>
      </c>
      <c r="E500">
        <v>29</v>
      </c>
      <c r="F500">
        <v>7105</v>
      </c>
    </row>
    <row r="501" spans="1:6">
      <c r="A501" t="s">
        <v>785</v>
      </c>
      <c r="B501" s="33">
        <v>43298</v>
      </c>
      <c r="C501" t="s">
        <v>290</v>
      </c>
      <c r="D501">
        <v>263</v>
      </c>
      <c r="E501">
        <v>83</v>
      </c>
      <c r="F501">
        <v>21829</v>
      </c>
    </row>
    <row r="502" spans="1:6">
      <c r="A502" t="s">
        <v>786</v>
      </c>
      <c r="B502" s="33">
        <v>43298</v>
      </c>
      <c r="C502" t="s">
        <v>290</v>
      </c>
      <c r="D502">
        <v>165</v>
      </c>
      <c r="E502">
        <v>278</v>
      </c>
      <c r="F502">
        <v>45870</v>
      </c>
    </row>
    <row r="503" spans="1:6">
      <c r="A503" t="s">
        <v>787</v>
      </c>
      <c r="B503" s="33">
        <v>43298</v>
      </c>
      <c r="C503" t="s">
        <v>288</v>
      </c>
      <c r="D503">
        <v>32</v>
      </c>
      <c r="E503">
        <v>336</v>
      </c>
      <c r="F503">
        <v>10752</v>
      </c>
    </row>
    <row r="504" spans="1:6">
      <c r="A504" t="s">
        <v>788</v>
      </c>
      <c r="B504" s="33">
        <v>43298</v>
      </c>
      <c r="C504" t="s">
        <v>290</v>
      </c>
      <c r="D504">
        <v>284</v>
      </c>
      <c r="E504">
        <v>466</v>
      </c>
      <c r="F504">
        <v>132344</v>
      </c>
    </row>
    <row r="505" spans="1:6">
      <c r="A505" t="s">
        <v>789</v>
      </c>
      <c r="B505" s="33">
        <v>43298</v>
      </c>
      <c r="C505" t="s">
        <v>282</v>
      </c>
      <c r="D505">
        <v>28</v>
      </c>
      <c r="E505">
        <v>339</v>
      </c>
      <c r="F505">
        <v>9492</v>
      </c>
    </row>
    <row r="506" spans="1:6">
      <c r="A506" t="s">
        <v>790</v>
      </c>
      <c r="B506" s="33">
        <v>43298</v>
      </c>
      <c r="C506" t="s">
        <v>282</v>
      </c>
      <c r="D506">
        <v>158</v>
      </c>
      <c r="E506">
        <v>437</v>
      </c>
      <c r="F506">
        <v>69046</v>
      </c>
    </row>
    <row r="507" spans="1:6">
      <c r="A507" t="s">
        <v>791</v>
      </c>
      <c r="B507" s="33">
        <v>43298</v>
      </c>
      <c r="C507" t="s">
        <v>282</v>
      </c>
      <c r="D507">
        <v>228</v>
      </c>
      <c r="E507">
        <v>162</v>
      </c>
      <c r="F507">
        <v>36936</v>
      </c>
    </row>
    <row r="508" spans="1:6">
      <c r="A508" t="s">
        <v>792</v>
      </c>
      <c r="B508" s="33">
        <v>43298</v>
      </c>
      <c r="C508" t="s">
        <v>284</v>
      </c>
      <c r="D508">
        <v>55</v>
      </c>
      <c r="E508">
        <v>5</v>
      </c>
      <c r="F508">
        <v>275</v>
      </c>
    </row>
    <row r="509" spans="1:6">
      <c r="A509" t="s">
        <v>793</v>
      </c>
      <c r="B509" s="33">
        <v>43298</v>
      </c>
      <c r="C509" t="s">
        <v>286</v>
      </c>
      <c r="D509">
        <v>228</v>
      </c>
      <c r="E509">
        <v>353</v>
      </c>
      <c r="F509">
        <v>80484</v>
      </c>
    </row>
    <row r="510" spans="1:6">
      <c r="A510" t="s">
        <v>794</v>
      </c>
      <c r="B510" s="33">
        <v>43298</v>
      </c>
      <c r="C510" t="s">
        <v>282</v>
      </c>
      <c r="D510">
        <v>208</v>
      </c>
      <c r="E510">
        <v>4</v>
      </c>
      <c r="F510">
        <v>832</v>
      </c>
    </row>
    <row r="511" spans="1:6">
      <c r="A511" t="s">
        <v>795</v>
      </c>
      <c r="B511" s="33">
        <v>43298</v>
      </c>
      <c r="C511" t="s">
        <v>288</v>
      </c>
      <c r="D511">
        <v>122</v>
      </c>
      <c r="E511">
        <v>129</v>
      </c>
      <c r="F511">
        <v>15738</v>
      </c>
    </row>
    <row r="512" spans="1:6">
      <c r="A512" t="s">
        <v>796</v>
      </c>
      <c r="B512" s="33">
        <v>43299</v>
      </c>
      <c r="C512" t="s">
        <v>284</v>
      </c>
      <c r="D512">
        <v>181</v>
      </c>
      <c r="E512">
        <v>126</v>
      </c>
      <c r="F512">
        <v>22806</v>
      </c>
    </row>
    <row r="513" spans="1:6">
      <c r="A513" t="s">
        <v>797</v>
      </c>
      <c r="B513" s="33">
        <v>43299</v>
      </c>
      <c r="C513" t="s">
        <v>282</v>
      </c>
      <c r="D513">
        <v>38</v>
      </c>
      <c r="E513">
        <v>58</v>
      </c>
      <c r="F513">
        <v>2204</v>
      </c>
    </row>
    <row r="514" spans="1:6">
      <c r="A514" t="s">
        <v>798</v>
      </c>
      <c r="B514" s="33">
        <v>43299</v>
      </c>
      <c r="C514" t="s">
        <v>288</v>
      </c>
      <c r="D514">
        <v>136</v>
      </c>
      <c r="E514">
        <v>498</v>
      </c>
      <c r="F514">
        <v>67728</v>
      </c>
    </row>
    <row r="515" spans="1:6">
      <c r="A515" t="s">
        <v>799</v>
      </c>
      <c r="B515" s="33">
        <v>43299</v>
      </c>
      <c r="C515" t="s">
        <v>286</v>
      </c>
      <c r="D515">
        <v>137</v>
      </c>
      <c r="E515">
        <v>277</v>
      </c>
      <c r="F515">
        <v>37949</v>
      </c>
    </row>
    <row r="516" spans="1:6">
      <c r="A516" t="s">
        <v>800</v>
      </c>
      <c r="B516" s="33">
        <v>43299</v>
      </c>
      <c r="C516" t="s">
        <v>290</v>
      </c>
      <c r="D516">
        <v>292</v>
      </c>
      <c r="E516">
        <v>58</v>
      </c>
      <c r="F516">
        <v>16936</v>
      </c>
    </row>
    <row r="517" spans="1:6">
      <c r="A517" t="s">
        <v>801</v>
      </c>
      <c r="B517" s="33">
        <v>43299</v>
      </c>
      <c r="C517" t="s">
        <v>284</v>
      </c>
      <c r="D517">
        <v>41</v>
      </c>
      <c r="E517">
        <v>57</v>
      </c>
      <c r="F517">
        <v>2337</v>
      </c>
    </row>
    <row r="518" spans="1:6">
      <c r="A518" t="s">
        <v>802</v>
      </c>
      <c r="B518" s="33">
        <v>43299</v>
      </c>
      <c r="C518" t="s">
        <v>290</v>
      </c>
      <c r="D518">
        <v>45</v>
      </c>
      <c r="E518">
        <v>269</v>
      </c>
      <c r="F518">
        <v>12105</v>
      </c>
    </row>
    <row r="519" spans="1:6">
      <c r="A519" t="s">
        <v>803</v>
      </c>
      <c r="B519" s="33">
        <v>43299</v>
      </c>
      <c r="C519" t="s">
        <v>284</v>
      </c>
      <c r="D519">
        <v>37</v>
      </c>
      <c r="E519">
        <v>292</v>
      </c>
      <c r="F519">
        <v>10804</v>
      </c>
    </row>
    <row r="520" spans="1:6">
      <c r="A520" t="s">
        <v>804</v>
      </c>
      <c r="B520" s="33">
        <v>43299</v>
      </c>
      <c r="C520" t="s">
        <v>286</v>
      </c>
      <c r="D520">
        <v>226</v>
      </c>
      <c r="E520">
        <v>46</v>
      </c>
      <c r="F520">
        <v>10396</v>
      </c>
    </row>
    <row r="521" spans="1:6">
      <c r="A521" t="s">
        <v>805</v>
      </c>
      <c r="B521" s="33">
        <v>43299</v>
      </c>
      <c r="C521" t="s">
        <v>290</v>
      </c>
      <c r="D521">
        <v>11</v>
      </c>
      <c r="E521">
        <v>66</v>
      </c>
      <c r="F521">
        <v>726</v>
      </c>
    </row>
    <row r="522" spans="1:6">
      <c r="A522" t="s">
        <v>806</v>
      </c>
      <c r="B522" s="33">
        <v>43300</v>
      </c>
      <c r="C522" t="s">
        <v>282</v>
      </c>
      <c r="D522">
        <v>238</v>
      </c>
      <c r="E522">
        <v>54</v>
      </c>
      <c r="F522">
        <v>12852</v>
      </c>
    </row>
    <row r="523" spans="1:6">
      <c r="A523" t="s">
        <v>807</v>
      </c>
      <c r="B523" s="33">
        <v>43300</v>
      </c>
      <c r="C523" t="s">
        <v>286</v>
      </c>
      <c r="D523">
        <v>180</v>
      </c>
      <c r="E523">
        <v>94</v>
      </c>
      <c r="F523">
        <v>16920</v>
      </c>
    </row>
    <row r="524" spans="1:6">
      <c r="A524" t="s">
        <v>808</v>
      </c>
      <c r="B524" s="33">
        <v>43300</v>
      </c>
      <c r="C524" t="s">
        <v>290</v>
      </c>
      <c r="D524">
        <v>99</v>
      </c>
      <c r="E524">
        <v>69</v>
      </c>
      <c r="F524">
        <v>6831</v>
      </c>
    </row>
    <row r="525" spans="1:6">
      <c r="A525" t="s">
        <v>809</v>
      </c>
      <c r="B525" s="33">
        <v>43300</v>
      </c>
      <c r="C525" t="s">
        <v>284</v>
      </c>
      <c r="D525">
        <v>96</v>
      </c>
      <c r="E525">
        <v>227</v>
      </c>
      <c r="F525">
        <v>21792</v>
      </c>
    </row>
    <row r="526" spans="1:6">
      <c r="A526" t="s">
        <v>810</v>
      </c>
      <c r="B526" s="33">
        <v>43300</v>
      </c>
      <c r="C526" t="s">
        <v>288</v>
      </c>
      <c r="D526">
        <v>160</v>
      </c>
      <c r="E526">
        <v>477</v>
      </c>
      <c r="F526">
        <v>76320</v>
      </c>
    </row>
    <row r="527" spans="1:6">
      <c r="A527" t="s">
        <v>811</v>
      </c>
      <c r="B527" s="33">
        <v>43300</v>
      </c>
      <c r="C527" t="s">
        <v>282</v>
      </c>
      <c r="D527">
        <v>187</v>
      </c>
      <c r="E527">
        <v>142</v>
      </c>
      <c r="F527">
        <v>26554</v>
      </c>
    </row>
    <row r="528" spans="1:6">
      <c r="A528" t="s">
        <v>812</v>
      </c>
      <c r="B528" s="33">
        <v>43300</v>
      </c>
      <c r="C528" t="s">
        <v>290</v>
      </c>
      <c r="D528">
        <v>117</v>
      </c>
      <c r="E528">
        <v>42</v>
      </c>
      <c r="F528">
        <v>4914</v>
      </c>
    </row>
    <row r="529" spans="1:6">
      <c r="A529" t="s">
        <v>813</v>
      </c>
      <c r="B529" s="33">
        <v>43301</v>
      </c>
      <c r="C529" t="s">
        <v>290</v>
      </c>
      <c r="D529">
        <v>70</v>
      </c>
      <c r="E529">
        <v>42</v>
      </c>
      <c r="F529">
        <v>2940</v>
      </c>
    </row>
    <row r="530" spans="1:6">
      <c r="A530" t="s">
        <v>814</v>
      </c>
      <c r="B530" s="33">
        <v>43301</v>
      </c>
      <c r="C530" t="s">
        <v>286</v>
      </c>
      <c r="D530">
        <v>262</v>
      </c>
      <c r="E530">
        <v>174</v>
      </c>
      <c r="F530">
        <v>45588</v>
      </c>
    </row>
    <row r="531" spans="1:6">
      <c r="A531" t="s">
        <v>815</v>
      </c>
      <c r="B531" s="33">
        <v>43301</v>
      </c>
      <c r="C531" t="s">
        <v>288</v>
      </c>
      <c r="D531">
        <v>17</v>
      </c>
      <c r="E531">
        <v>386</v>
      </c>
      <c r="F531">
        <v>6562</v>
      </c>
    </row>
    <row r="532" spans="1:6">
      <c r="A532" t="s">
        <v>816</v>
      </c>
      <c r="B532" s="33">
        <v>43301</v>
      </c>
      <c r="C532" t="s">
        <v>286</v>
      </c>
      <c r="D532">
        <v>57</v>
      </c>
      <c r="E532">
        <v>362</v>
      </c>
      <c r="F532">
        <v>20634</v>
      </c>
    </row>
    <row r="533" spans="1:6">
      <c r="A533" t="s">
        <v>817</v>
      </c>
      <c r="B533" s="33">
        <v>43301</v>
      </c>
      <c r="C533" t="s">
        <v>290</v>
      </c>
      <c r="D533">
        <v>223</v>
      </c>
      <c r="E533">
        <v>318</v>
      </c>
      <c r="F533">
        <v>70914</v>
      </c>
    </row>
    <row r="534" spans="1:6">
      <c r="A534" t="s">
        <v>818</v>
      </c>
      <c r="B534" s="33">
        <v>43301</v>
      </c>
      <c r="C534" t="s">
        <v>290</v>
      </c>
      <c r="D534">
        <v>249</v>
      </c>
      <c r="E534">
        <v>335</v>
      </c>
      <c r="F534">
        <v>83415</v>
      </c>
    </row>
    <row r="535" spans="1:6">
      <c r="A535" t="s">
        <v>819</v>
      </c>
      <c r="B535" s="33">
        <v>43301</v>
      </c>
      <c r="C535" t="s">
        <v>288</v>
      </c>
      <c r="D535">
        <v>242</v>
      </c>
      <c r="E535">
        <v>243</v>
      </c>
      <c r="F535">
        <v>58806</v>
      </c>
    </row>
    <row r="536" spans="1:6">
      <c r="A536" t="s">
        <v>820</v>
      </c>
      <c r="B536" s="33">
        <v>43302</v>
      </c>
      <c r="C536" t="s">
        <v>286</v>
      </c>
      <c r="D536">
        <v>34</v>
      </c>
      <c r="E536">
        <v>164</v>
      </c>
      <c r="F536">
        <v>5576</v>
      </c>
    </row>
    <row r="537" spans="1:6">
      <c r="A537" t="s">
        <v>821</v>
      </c>
      <c r="B537" s="33">
        <v>43302</v>
      </c>
      <c r="C537" t="s">
        <v>288</v>
      </c>
      <c r="D537">
        <v>177</v>
      </c>
      <c r="E537">
        <v>221</v>
      </c>
      <c r="F537">
        <v>39117</v>
      </c>
    </row>
    <row r="538" spans="1:6">
      <c r="A538" t="s">
        <v>822</v>
      </c>
      <c r="B538" s="33">
        <v>43302</v>
      </c>
      <c r="C538" t="s">
        <v>286</v>
      </c>
      <c r="D538">
        <v>206</v>
      </c>
      <c r="E538">
        <v>16</v>
      </c>
      <c r="F538">
        <v>3296</v>
      </c>
    </row>
    <row r="539" spans="1:6">
      <c r="A539" t="s">
        <v>823</v>
      </c>
      <c r="B539" s="33">
        <v>43302</v>
      </c>
      <c r="C539" t="s">
        <v>290</v>
      </c>
      <c r="D539">
        <v>261</v>
      </c>
      <c r="E539">
        <v>178</v>
      </c>
      <c r="F539">
        <v>46458</v>
      </c>
    </row>
    <row r="540" spans="1:6">
      <c r="A540" t="s">
        <v>824</v>
      </c>
      <c r="B540" s="33">
        <v>43302</v>
      </c>
      <c r="C540" t="s">
        <v>288</v>
      </c>
      <c r="D540">
        <v>296</v>
      </c>
      <c r="E540">
        <v>242</v>
      </c>
      <c r="F540">
        <v>71632</v>
      </c>
    </row>
    <row r="541" spans="1:6">
      <c r="A541" t="s">
        <v>825</v>
      </c>
      <c r="B541" s="33">
        <v>43302</v>
      </c>
      <c r="C541" t="s">
        <v>286</v>
      </c>
      <c r="D541">
        <v>116</v>
      </c>
      <c r="E541">
        <v>224</v>
      </c>
      <c r="F541">
        <v>25984</v>
      </c>
    </row>
    <row r="542" spans="1:6">
      <c r="A542" t="s">
        <v>826</v>
      </c>
      <c r="B542" s="33">
        <v>43302</v>
      </c>
      <c r="C542" t="s">
        <v>284</v>
      </c>
      <c r="D542">
        <v>205</v>
      </c>
      <c r="E542">
        <v>203</v>
      </c>
      <c r="F542">
        <v>41615</v>
      </c>
    </row>
    <row r="543" spans="1:6">
      <c r="A543" t="s">
        <v>827</v>
      </c>
      <c r="B543" s="33">
        <v>43302</v>
      </c>
      <c r="C543" t="s">
        <v>288</v>
      </c>
      <c r="D543">
        <v>179</v>
      </c>
      <c r="E543">
        <v>151</v>
      </c>
      <c r="F543">
        <v>27029</v>
      </c>
    </row>
    <row r="544" spans="1:6">
      <c r="A544" t="s">
        <v>828</v>
      </c>
      <c r="B544" s="33">
        <v>43302</v>
      </c>
      <c r="C544" t="s">
        <v>282</v>
      </c>
      <c r="D544">
        <v>55</v>
      </c>
      <c r="E544">
        <v>313</v>
      </c>
      <c r="F544">
        <v>17215</v>
      </c>
    </row>
    <row r="545" spans="1:6">
      <c r="A545" t="s">
        <v>829</v>
      </c>
      <c r="B545" s="33">
        <v>43302</v>
      </c>
      <c r="C545" t="s">
        <v>284</v>
      </c>
      <c r="D545">
        <v>101</v>
      </c>
      <c r="E545">
        <v>346</v>
      </c>
      <c r="F545">
        <v>34946</v>
      </c>
    </row>
    <row r="546" spans="1:6">
      <c r="A546" t="s">
        <v>830</v>
      </c>
      <c r="B546" s="33">
        <v>43302</v>
      </c>
      <c r="C546" t="s">
        <v>282</v>
      </c>
      <c r="D546">
        <v>209</v>
      </c>
      <c r="E546">
        <v>74</v>
      </c>
      <c r="F546">
        <v>15466</v>
      </c>
    </row>
    <row r="547" spans="1:6">
      <c r="A547" t="s">
        <v>831</v>
      </c>
      <c r="B547" s="33">
        <v>43302</v>
      </c>
      <c r="C547" t="s">
        <v>286</v>
      </c>
      <c r="D547">
        <v>276</v>
      </c>
      <c r="E547">
        <v>352</v>
      </c>
      <c r="F547">
        <v>97152</v>
      </c>
    </row>
    <row r="548" spans="1:6">
      <c r="A548" t="s">
        <v>832</v>
      </c>
      <c r="B548" s="33">
        <v>43302</v>
      </c>
      <c r="C548" t="s">
        <v>284</v>
      </c>
      <c r="D548">
        <v>146</v>
      </c>
      <c r="E548">
        <v>166</v>
      </c>
      <c r="F548">
        <v>24236</v>
      </c>
    </row>
    <row r="549" spans="1:6">
      <c r="A549" t="s">
        <v>833</v>
      </c>
      <c r="B549" s="33">
        <v>43303</v>
      </c>
      <c r="C549" t="s">
        <v>284</v>
      </c>
      <c r="D549">
        <v>15</v>
      </c>
      <c r="E549">
        <v>493</v>
      </c>
      <c r="F549">
        <v>7395</v>
      </c>
    </row>
    <row r="550" spans="1:6">
      <c r="A550" t="s">
        <v>834</v>
      </c>
      <c r="B550" s="33">
        <v>43303</v>
      </c>
      <c r="C550" t="s">
        <v>290</v>
      </c>
      <c r="D550">
        <v>256</v>
      </c>
      <c r="E550">
        <v>320</v>
      </c>
      <c r="F550">
        <v>81920</v>
      </c>
    </row>
    <row r="551" spans="1:6">
      <c r="A551" t="s">
        <v>835</v>
      </c>
      <c r="B551" s="33">
        <v>43303</v>
      </c>
      <c r="C551" t="s">
        <v>282</v>
      </c>
      <c r="D551">
        <v>150</v>
      </c>
      <c r="E551">
        <v>60</v>
      </c>
      <c r="F551">
        <v>9000</v>
      </c>
    </row>
    <row r="552" spans="1:6">
      <c r="A552" t="s">
        <v>836</v>
      </c>
      <c r="B552" s="33">
        <v>43303</v>
      </c>
      <c r="C552" t="s">
        <v>288</v>
      </c>
      <c r="D552">
        <v>57</v>
      </c>
      <c r="E552">
        <v>159</v>
      </c>
      <c r="F552">
        <v>9063</v>
      </c>
    </row>
    <row r="553" spans="1:6">
      <c r="A553" t="s">
        <v>837</v>
      </c>
      <c r="B553" s="33">
        <v>43303</v>
      </c>
      <c r="C553" t="s">
        <v>290</v>
      </c>
      <c r="D553">
        <v>162</v>
      </c>
      <c r="E553">
        <v>401</v>
      </c>
      <c r="F553">
        <v>64962</v>
      </c>
    </row>
    <row r="554" spans="1:6">
      <c r="A554" t="s">
        <v>838</v>
      </c>
      <c r="B554" s="33">
        <v>43303</v>
      </c>
      <c r="C554" t="s">
        <v>286</v>
      </c>
      <c r="D554">
        <v>49</v>
      </c>
      <c r="E554">
        <v>356</v>
      </c>
      <c r="F554">
        <v>17444</v>
      </c>
    </row>
    <row r="555" spans="1:6">
      <c r="A555" t="s">
        <v>839</v>
      </c>
      <c r="B555" s="33">
        <v>43303</v>
      </c>
      <c r="C555" t="s">
        <v>284</v>
      </c>
      <c r="D555">
        <v>26</v>
      </c>
      <c r="E555">
        <v>380</v>
      </c>
      <c r="F555">
        <v>9880</v>
      </c>
    </row>
    <row r="556" spans="1:6">
      <c r="A556" t="s">
        <v>840</v>
      </c>
      <c r="B556" s="33">
        <v>43303</v>
      </c>
      <c r="C556" t="s">
        <v>290</v>
      </c>
      <c r="D556">
        <v>43</v>
      </c>
      <c r="E556">
        <v>58</v>
      </c>
      <c r="F556">
        <v>2494</v>
      </c>
    </row>
    <row r="557" spans="1:6">
      <c r="A557" t="s">
        <v>841</v>
      </c>
      <c r="B557" s="33">
        <v>43303</v>
      </c>
      <c r="C557" t="s">
        <v>286</v>
      </c>
      <c r="D557">
        <v>252</v>
      </c>
      <c r="E557">
        <v>99</v>
      </c>
      <c r="F557">
        <v>24948</v>
      </c>
    </row>
    <row r="558" spans="1:6">
      <c r="A558" t="s">
        <v>842</v>
      </c>
      <c r="B558" s="33">
        <v>43303</v>
      </c>
      <c r="C558" t="s">
        <v>286</v>
      </c>
      <c r="D558">
        <v>128</v>
      </c>
      <c r="E558">
        <v>368</v>
      </c>
      <c r="F558">
        <v>47104</v>
      </c>
    </row>
    <row r="559" spans="1:6">
      <c r="A559" t="s">
        <v>843</v>
      </c>
      <c r="B559" s="33">
        <v>43303</v>
      </c>
      <c r="C559" t="s">
        <v>286</v>
      </c>
      <c r="D559">
        <v>285</v>
      </c>
      <c r="E559">
        <v>127</v>
      </c>
      <c r="F559">
        <v>36195</v>
      </c>
    </row>
    <row r="560" spans="1:6">
      <c r="A560" t="s">
        <v>844</v>
      </c>
      <c r="B560" s="33">
        <v>43303</v>
      </c>
      <c r="C560" t="s">
        <v>282</v>
      </c>
      <c r="D560">
        <v>50</v>
      </c>
      <c r="E560">
        <v>368</v>
      </c>
      <c r="F560">
        <v>18400</v>
      </c>
    </row>
    <row r="561" spans="1:6">
      <c r="A561" t="s">
        <v>845</v>
      </c>
      <c r="B561" s="33">
        <v>43303</v>
      </c>
      <c r="C561" t="s">
        <v>288</v>
      </c>
      <c r="D561">
        <v>101</v>
      </c>
      <c r="E561">
        <v>363</v>
      </c>
      <c r="F561">
        <v>36663</v>
      </c>
    </row>
    <row r="562" spans="1:6">
      <c r="A562" t="s">
        <v>846</v>
      </c>
      <c r="B562" s="33">
        <v>43303</v>
      </c>
      <c r="C562" t="s">
        <v>286</v>
      </c>
      <c r="D562">
        <v>298</v>
      </c>
      <c r="E562">
        <v>145</v>
      </c>
      <c r="F562">
        <v>43210</v>
      </c>
    </row>
    <row r="563" spans="1:6">
      <c r="A563" t="s">
        <v>847</v>
      </c>
      <c r="B563" s="33">
        <v>43304</v>
      </c>
      <c r="C563" t="s">
        <v>290</v>
      </c>
      <c r="D563">
        <v>96</v>
      </c>
      <c r="E563">
        <v>157</v>
      </c>
      <c r="F563">
        <v>15072</v>
      </c>
    </row>
    <row r="564" spans="1:6">
      <c r="A564" t="s">
        <v>848</v>
      </c>
      <c r="B564" s="33">
        <v>43304</v>
      </c>
      <c r="C564" t="s">
        <v>282</v>
      </c>
      <c r="D564">
        <v>157</v>
      </c>
      <c r="E564">
        <v>222</v>
      </c>
      <c r="F564">
        <v>34854</v>
      </c>
    </row>
    <row r="565" spans="1:6">
      <c r="A565" t="s">
        <v>849</v>
      </c>
      <c r="B565" s="33">
        <v>43304</v>
      </c>
      <c r="C565" t="s">
        <v>288</v>
      </c>
      <c r="D565">
        <v>153</v>
      </c>
      <c r="E565">
        <v>84</v>
      </c>
      <c r="F565">
        <v>12852</v>
      </c>
    </row>
    <row r="566" spans="1:6">
      <c r="A566" t="s">
        <v>850</v>
      </c>
      <c r="B566" s="33">
        <v>43304</v>
      </c>
      <c r="C566" t="s">
        <v>290</v>
      </c>
      <c r="D566">
        <v>220</v>
      </c>
      <c r="E566">
        <v>15</v>
      </c>
      <c r="F566">
        <v>3300</v>
      </c>
    </row>
    <row r="567" spans="1:6">
      <c r="A567" t="s">
        <v>851</v>
      </c>
      <c r="B567" s="33">
        <v>43304</v>
      </c>
      <c r="C567" t="s">
        <v>290</v>
      </c>
      <c r="D567">
        <v>266</v>
      </c>
      <c r="E567">
        <v>280</v>
      </c>
      <c r="F567">
        <v>74480</v>
      </c>
    </row>
    <row r="568" spans="1:6">
      <c r="A568" t="s">
        <v>852</v>
      </c>
      <c r="B568" s="33">
        <v>43304</v>
      </c>
      <c r="C568" t="s">
        <v>284</v>
      </c>
      <c r="D568">
        <v>92</v>
      </c>
      <c r="E568">
        <v>26</v>
      </c>
      <c r="F568">
        <v>2392</v>
      </c>
    </row>
    <row r="569" spans="1:6">
      <c r="A569" t="s">
        <v>853</v>
      </c>
      <c r="B569" s="33">
        <v>43304</v>
      </c>
      <c r="C569" t="s">
        <v>284</v>
      </c>
      <c r="D569">
        <v>261</v>
      </c>
      <c r="E569">
        <v>48</v>
      </c>
      <c r="F569">
        <v>12528</v>
      </c>
    </row>
    <row r="570" spans="1:6">
      <c r="A570" t="s">
        <v>854</v>
      </c>
      <c r="B570" s="33">
        <v>43304</v>
      </c>
      <c r="C570" t="s">
        <v>284</v>
      </c>
      <c r="D570">
        <v>153</v>
      </c>
      <c r="E570">
        <v>392</v>
      </c>
      <c r="F570">
        <v>59976</v>
      </c>
    </row>
    <row r="571" spans="1:6">
      <c r="A571" t="s">
        <v>855</v>
      </c>
      <c r="B571" s="33">
        <v>43304</v>
      </c>
      <c r="C571" t="s">
        <v>288</v>
      </c>
      <c r="D571">
        <v>115</v>
      </c>
      <c r="E571">
        <v>340</v>
      </c>
      <c r="F571">
        <v>39100</v>
      </c>
    </row>
    <row r="572" spans="1:6">
      <c r="A572" t="s">
        <v>856</v>
      </c>
      <c r="B572" s="33">
        <v>43304</v>
      </c>
      <c r="C572" t="s">
        <v>284</v>
      </c>
      <c r="D572">
        <v>68</v>
      </c>
      <c r="E572">
        <v>41</v>
      </c>
      <c r="F572">
        <v>2788</v>
      </c>
    </row>
    <row r="573" spans="1:6">
      <c r="A573" t="s">
        <v>857</v>
      </c>
      <c r="B573" s="33">
        <v>43304</v>
      </c>
      <c r="C573" t="s">
        <v>286</v>
      </c>
      <c r="D573">
        <v>192</v>
      </c>
      <c r="E573">
        <v>20</v>
      </c>
      <c r="F573">
        <v>3840</v>
      </c>
    </row>
    <row r="574" spans="1:6">
      <c r="A574" t="s">
        <v>858</v>
      </c>
      <c r="B574" s="33">
        <v>43305</v>
      </c>
      <c r="C574" t="s">
        <v>286</v>
      </c>
      <c r="D574">
        <v>63</v>
      </c>
      <c r="E574">
        <v>498</v>
      </c>
      <c r="F574">
        <v>31374</v>
      </c>
    </row>
    <row r="575" spans="1:6">
      <c r="A575" t="s">
        <v>859</v>
      </c>
      <c r="B575" s="33">
        <v>43305</v>
      </c>
      <c r="C575" t="s">
        <v>284</v>
      </c>
      <c r="D575">
        <v>86</v>
      </c>
      <c r="E575">
        <v>51</v>
      </c>
      <c r="F575">
        <v>4386</v>
      </c>
    </row>
    <row r="576" spans="1:6">
      <c r="A576" t="s">
        <v>860</v>
      </c>
      <c r="B576" s="33">
        <v>43305</v>
      </c>
      <c r="C576" t="s">
        <v>282</v>
      </c>
      <c r="D576">
        <v>153</v>
      </c>
      <c r="E576">
        <v>404</v>
      </c>
      <c r="F576">
        <v>61812</v>
      </c>
    </row>
    <row r="577" spans="1:6">
      <c r="A577" t="s">
        <v>861</v>
      </c>
      <c r="B577" s="33">
        <v>43305</v>
      </c>
      <c r="C577" t="s">
        <v>290</v>
      </c>
      <c r="D577">
        <v>58</v>
      </c>
      <c r="E577">
        <v>498</v>
      </c>
      <c r="F577">
        <v>28884</v>
      </c>
    </row>
    <row r="578" spans="1:6">
      <c r="A578" t="s">
        <v>862</v>
      </c>
      <c r="B578" s="33">
        <v>43305</v>
      </c>
      <c r="C578" t="s">
        <v>284</v>
      </c>
      <c r="D578">
        <v>144</v>
      </c>
      <c r="E578">
        <v>168</v>
      </c>
      <c r="F578">
        <v>24192</v>
      </c>
    </row>
    <row r="579" spans="1:6">
      <c r="A579" t="s">
        <v>863</v>
      </c>
      <c r="B579" s="33">
        <v>43305</v>
      </c>
      <c r="C579" t="s">
        <v>288</v>
      </c>
      <c r="D579">
        <v>15</v>
      </c>
      <c r="E579">
        <v>57</v>
      </c>
      <c r="F579">
        <v>855</v>
      </c>
    </row>
    <row r="580" spans="1:6">
      <c r="A580" t="s">
        <v>864</v>
      </c>
      <c r="B580" s="33">
        <v>43305</v>
      </c>
      <c r="C580" t="s">
        <v>282</v>
      </c>
      <c r="D580">
        <v>279</v>
      </c>
      <c r="E580">
        <v>302</v>
      </c>
      <c r="F580">
        <v>84258</v>
      </c>
    </row>
    <row r="581" spans="1:6">
      <c r="A581" t="s">
        <v>865</v>
      </c>
      <c r="B581" s="33">
        <v>43305</v>
      </c>
      <c r="C581" t="s">
        <v>286</v>
      </c>
      <c r="D581">
        <v>89</v>
      </c>
      <c r="E581">
        <v>6</v>
      </c>
      <c r="F581">
        <v>534</v>
      </c>
    </row>
    <row r="582" spans="1:6">
      <c r="A582" t="s">
        <v>866</v>
      </c>
      <c r="B582" s="33">
        <v>43305</v>
      </c>
      <c r="C582" t="s">
        <v>288</v>
      </c>
      <c r="D582">
        <v>273</v>
      </c>
      <c r="E582">
        <v>257</v>
      </c>
      <c r="F582">
        <v>70161</v>
      </c>
    </row>
    <row r="583" spans="1:6">
      <c r="A583" t="s">
        <v>867</v>
      </c>
      <c r="B583" s="33">
        <v>43305</v>
      </c>
      <c r="C583" t="s">
        <v>288</v>
      </c>
      <c r="D583">
        <v>69</v>
      </c>
      <c r="E583">
        <v>316</v>
      </c>
      <c r="F583">
        <v>21804</v>
      </c>
    </row>
    <row r="584" spans="1:6">
      <c r="A584" t="s">
        <v>868</v>
      </c>
      <c r="B584" s="33">
        <v>43305</v>
      </c>
      <c r="C584" t="s">
        <v>286</v>
      </c>
      <c r="D584">
        <v>69</v>
      </c>
      <c r="E584">
        <v>361</v>
      </c>
      <c r="F584">
        <v>24909</v>
      </c>
    </row>
    <row r="585" spans="1:6">
      <c r="A585" t="s">
        <v>869</v>
      </c>
      <c r="B585" s="33">
        <v>43305</v>
      </c>
      <c r="C585" t="s">
        <v>288</v>
      </c>
      <c r="D585">
        <v>150</v>
      </c>
      <c r="E585">
        <v>399</v>
      </c>
      <c r="F585">
        <v>59850</v>
      </c>
    </row>
    <row r="586" spans="1:6">
      <c r="A586" t="s">
        <v>870</v>
      </c>
      <c r="B586" s="33">
        <v>43305</v>
      </c>
      <c r="C586" t="s">
        <v>286</v>
      </c>
      <c r="D586">
        <v>197</v>
      </c>
      <c r="E586">
        <v>284</v>
      </c>
      <c r="F586">
        <v>55948</v>
      </c>
    </row>
    <row r="587" spans="1:6">
      <c r="A587" t="s">
        <v>871</v>
      </c>
      <c r="B587" s="33">
        <v>43305</v>
      </c>
      <c r="C587" t="s">
        <v>290</v>
      </c>
      <c r="D587">
        <v>285</v>
      </c>
      <c r="E587">
        <v>459</v>
      </c>
      <c r="F587">
        <v>130815</v>
      </c>
    </row>
    <row r="588" spans="1:6">
      <c r="A588" t="s">
        <v>872</v>
      </c>
      <c r="B588" s="33">
        <v>43306</v>
      </c>
      <c r="C588" t="s">
        <v>286</v>
      </c>
      <c r="D588">
        <v>246</v>
      </c>
      <c r="E588">
        <v>50</v>
      </c>
      <c r="F588">
        <v>12300</v>
      </c>
    </row>
    <row r="589" spans="1:6">
      <c r="A589" t="s">
        <v>873</v>
      </c>
      <c r="B589" s="33">
        <v>43306</v>
      </c>
      <c r="C589" t="s">
        <v>282</v>
      </c>
      <c r="D589">
        <v>40</v>
      </c>
      <c r="E589">
        <v>14</v>
      </c>
      <c r="F589">
        <v>560</v>
      </c>
    </row>
    <row r="590" spans="1:6">
      <c r="A590" t="s">
        <v>874</v>
      </c>
      <c r="B590" s="33">
        <v>43306</v>
      </c>
      <c r="C590" t="s">
        <v>288</v>
      </c>
      <c r="D590">
        <v>25</v>
      </c>
      <c r="E590">
        <v>55</v>
      </c>
      <c r="F590">
        <v>1375</v>
      </c>
    </row>
    <row r="591" spans="1:6">
      <c r="A591" t="s">
        <v>875</v>
      </c>
      <c r="B591" s="33">
        <v>43306</v>
      </c>
      <c r="C591" t="s">
        <v>288</v>
      </c>
      <c r="D591">
        <v>38</v>
      </c>
      <c r="E591">
        <v>464</v>
      </c>
      <c r="F591">
        <v>17632</v>
      </c>
    </row>
    <row r="592" spans="1:6">
      <c r="A592" t="s">
        <v>876</v>
      </c>
      <c r="B592" s="33">
        <v>43306</v>
      </c>
      <c r="C592" t="s">
        <v>290</v>
      </c>
      <c r="D592">
        <v>266</v>
      </c>
      <c r="E592">
        <v>407</v>
      </c>
      <c r="F592">
        <v>108262</v>
      </c>
    </row>
    <row r="593" spans="1:6">
      <c r="A593" t="s">
        <v>877</v>
      </c>
      <c r="B593" s="33">
        <v>43306</v>
      </c>
      <c r="C593" t="s">
        <v>288</v>
      </c>
      <c r="D593">
        <v>140</v>
      </c>
      <c r="E593">
        <v>387</v>
      </c>
      <c r="F593">
        <v>54180</v>
      </c>
    </row>
    <row r="594" spans="1:6">
      <c r="A594" t="s">
        <v>878</v>
      </c>
      <c r="B594" s="33">
        <v>43306</v>
      </c>
      <c r="C594" t="s">
        <v>288</v>
      </c>
      <c r="D594">
        <v>54</v>
      </c>
      <c r="E594">
        <v>7</v>
      </c>
      <c r="F594">
        <v>378</v>
      </c>
    </row>
    <row r="595" spans="1:6">
      <c r="A595" t="s">
        <v>879</v>
      </c>
      <c r="B595" s="33">
        <v>43306</v>
      </c>
      <c r="C595" t="s">
        <v>290</v>
      </c>
      <c r="D595">
        <v>261</v>
      </c>
      <c r="E595">
        <v>329</v>
      </c>
      <c r="F595">
        <v>85869</v>
      </c>
    </row>
    <row r="596" spans="1:6">
      <c r="A596" t="s">
        <v>880</v>
      </c>
      <c r="B596" s="33">
        <v>43306</v>
      </c>
      <c r="C596" t="s">
        <v>288</v>
      </c>
      <c r="D596">
        <v>18</v>
      </c>
      <c r="E596">
        <v>472</v>
      </c>
      <c r="F596">
        <v>8496</v>
      </c>
    </row>
    <row r="597" spans="1:6">
      <c r="A597" t="s">
        <v>881</v>
      </c>
      <c r="B597" s="33">
        <v>43306</v>
      </c>
      <c r="C597" t="s">
        <v>282</v>
      </c>
      <c r="D597">
        <v>215</v>
      </c>
      <c r="E597">
        <v>53</v>
      </c>
      <c r="F597">
        <v>11395</v>
      </c>
    </row>
    <row r="598" spans="1:6">
      <c r="A598" t="s">
        <v>882</v>
      </c>
      <c r="B598" s="33">
        <v>43306</v>
      </c>
      <c r="C598" t="s">
        <v>286</v>
      </c>
      <c r="D598">
        <v>165</v>
      </c>
      <c r="E598">
        <v>13</v>
      </c>
      <c r="F598">
        <v>2145</v>
      </c>
    </row>
    <row r="599" spans="1:6">
      <c r="A599" t="s">
        <v>883</v>
      </c>
      <c r="B599" s="33">
        <v>43306</v>
      </c>
      <c r="C599" t="s">
        <v>284</v>
      </c>
      <c r="D599">
        <v>70</v>
      </c>
      <c r="E599">
        <v>339</v>
      </c>
      <c r="F599">
        <v>23730</v>
      </c>
    </row>
    <row r="600" spans="1:6">
      <c r="A600" t="s">
        <v>884</v>
      </c>
      <c r="B600" s="33">
        <v>43306</v>
      </c>
      <c r="C600" t="s">
        <v>284</v>
      </c>
      <c r="D600">
        <v>271</v>
      </c>
      <c r="E600">
        <v>64</v>
      </c>
      <c r="F600">
        <v>17344</v>
      </c>
    </row>
    <row r="601" spans="1:6">
      <c r="A601" t="s">
        <v>885</v>
      </c>
      <c r="B601" s="33">
        <v>43306</v>
      </c>
      <c r="C601" t="s">
        <v>284</v>
      </c>
      <c r="D601">
        <v>75</v>
      </c>
      <c r="E601">
        <v>29</v>
      </c>
      <c r="F601">
        <v>2175</v>
      </c>
    </row>
    <row r="602" spans="1:6">
      <c r="A602" t="s">
        <v>886</v>
      </c>
      <c r="B602" s="33">
        <v>43306</v>
      </c>
      <c r="C602" t="s">
        <v>284</v>
      </c>
      <c r="D602">
        <v>180</v>
      </c>
      <c r="E602">
        <v>316</v>
      </c>
      <c r="F602">
        <v>56880</v>
      </c>
    </row>
    <row r="603" spans="1:6">
      <c r="A603" t="s">
        <v>887</v>
      </c>
      <c r="B603" s="33">
        <v>43306</v>
      </c>
      <c r="C603" t="s">
        <v>284</v>
      </c>
      <c r="D603">
        <v>251</v>
      </c>
      <c r="E603">
        <v>16</v>
      </c>
      <c r="F603">
        <v>4016</v>
      </c>
    </row>
    <row r="604" spans="1:6">
      <c r="A604" t="s">
        <v>888</v>
      </c>
      <c r="B604" s="33">
        <v>43306</v>
      </c>
      <c r="C604" t="s">
        <v>282</v>
      </c>
      <c r="D604">
        <v>69</v>
      </c>
      <c r="E604">
        <v>51</v>
      </c>
      <c r="F604">
        <v>3519</v>
      </c>
    </row>
    <row r="605" spans="1:6">
      <c r="A605" t="s">
        <v>889</v>
      </c>
      <c r="B605" s="33">
        <v>43306</v>
      </c>
      <c r="C605" t="s">
        <v>282</v>
      </c>
      <c r="D605">
        <v>160</v>
      </c>
      <c r="E605">
        <v>71</v>
      </c>
      <c r="F605">
        <v>11360</v>
      </c>
    </row>
    <row r="606" spans="1:6">
      <c r="A606" t="s">
        <v>890</v>
      </c>
      <c r="B606" s="33">
        <v>43307</v>
      </c>
      <c r="C606" t="s">
        <v>286</v>
      </c>
      <c r="D606">
        <v>187</v>
      </c>
      <c r="E606">
        <v>15</v>
      </c>
      <c r="F606">
        <v>2805</v>
      </c>
    </row>
    <row r="607" spans="1:6">
      <c r="A607" t="s">
        <v>891</v>
      </c>
      <c r="B607" s="33">
        <v>43307</v>
      </c>
      <c r="C607" t="s">
        <v>282</v>
      </c>
      <c r="D607">
        <v>12</v>
      </c>
      <c r="E607">
        <v>400</v>
      </c>
      <c r="F607">
        <v>4800</v>
      </c>
    </row>
    <row r="608" spans="1:6">
      <c r="A608" t="s">
        <v>892</v>
      </c>
      <c r="B608" s="33">
        <v>43307</v>
      </c>
      <c r="C608" t="s">
        <v>284</v>
      </c>
      <c r="D608">
        <v>192</v>
      </c>
      <c r="E608">
        <v>52</v>
      </c>
      <c r="F608">
        <v>9984</v>
      </c>
    </row>
    <row r="609" spans="1:6">
      <c r="A609" t="s">
        <v>893</v>
      </c>
      <c r="B609" s="33">
        <v>43307</v>
      </c>
      <c r="C609" t="s">
        <v>288</v>
      </c>
      <c r="D609">
        <v>193</v>
      </c>
      <c r="E609">
        <v>252</v>
      </c>
      <c r="F609">
        <v>48636</v>
      </c>
    </row>
    <row r="610" spans="1:6">
      <c r="A610" t="s">
        <v>894</v>
      </c>
      <c r="B610" s="33">
        <v>43307</v>
      </c>
      <c r="C610" t="s">
        <v>288</v>
      </c>
      <c r="D610">
        <v>74</v>
      </c>
      <c r="E610">
        <v>437</v>
      </c>
      <c r="F610">
        <v>32338</v>
      </c>
    </row>
    <row r="611" spans="1:6">
      <c r="A611" t="s">
        <v>895</v>
      </c>
      <c r="B611" s="33">
        <v>43307</v>
      </c>
      <c r="C611" t="s">
        <v>282</v>
      </c>
      <c r="D611">
        <v>57</v>
      </c>
      <c r="E611">
        <v>8</v>
      </c>
      <c r="F611">
        <v>456</v>
      </c>
    </row>
    <row r="612" spans="1:6">
      <c r="A612" t="s">
        <v>896</v>
      </c>
      <c r="B612" s="33">
        <v>43307</v>
      </c>
      <c r="C612" t="s">
        <v>284</v>
      </c>
      <c r="D612">
        <v>284</v>
      </c>
      <c r="E612">
        <v>435</v>
      </c>
      <c r="F612">
        <v>123540</v>
      </c>
    </row>
    <row r="613" spans="1:6">
      <c r="A613" t="s">
        <v>897</v>
      </c>
      <c r="B613" s="33">
        <v>43307</v>
      </c>
      <c r="C613" t="s">
        <v>286</v>
      </c>
      <c r="D613">
        <v>122</v>
      </c>
      <c r="E613">
        <v>320</v>
      </c>
      <c r="F613">
        <v>39040</v>
      </c>
    </row>
    <row r="614" spans="1:6">
      <c r="A614" t="s">
        <v>898</v>
      </c>
      <c r="B614" s="33">
        <v>43307</v>
      </c>
      <c r="C614" t="s">
        <v>286</v>
      </c>
      <c r="D614">
        <v>102</v>
      </c>
      <c r="E614">
        <v>41</v>
      </c>
      <c r="F614">
        <v>4182</v>
      </c>
    </row>
    <row r="615" spans="1:6">
      <c r="A615" t="s">
        <v>899</v>
      </c>
      <c r="B615" s="33">
        <v>43307</v>
      </c>
      <c r="C615" t="s">
        <v>284</v>
      </c>
      <c r="D615">
        <v>269</v>
      </c>
      <c r="E615">
        <v>386</v>
      </c>
      <c r="F615">
        <v>103834</v>
      </c>
    </row>
    <row r="616" spans="1:6">
      <c r="A616" t="s">
        <v>900</v>
      </c>
      <c r="B616" s="33">
        <v>43307</v>
      </c>
      <c r="C616" t="s">
        <v>282</v>
      </c>
      <c r="D616">
        <v>127</v>
      </c>
      <c r="E616">
        <v>26</v>
      </c>
      <c r="F616">
        <v>3302</v>
      </c>
    </row>
    <row r="617" spans="1:6">
      <c r="A617" t="s">
        <v>901</v>
      </c>
      <c r="B617" s="33">
        <v>43308</v>
      </c>
      <c r="C617" t="s">
        <v>282</v>
      </c>
      <c r="D617">
        <v>130</v>
      </c>
      <c r="E617">
        <v>134</v>
      </c>
      <c r="F617">
        <v>17420</v>
      </c>
    </row>
    <row r="618" spans="1:6">
      <c r="A618" t="s">
        <v>902</v>
      </c>
      <c r="B618" s="33">
        <v>43308</v>
      </c>
      <c r="C618" t="s">
        <v>284</v>
      </c>
      <c r="D618">
        <v>16</v>
      </c>
      <c r="E618">
        <v>300</v>
      </c>
      <c r="F618">
        <v>4800</v>
      </c>
    </row>
    <row r="619" spans="1:6">
      <c r="A619" t="s">
        <v>903</v>
      </c>
      <c r="B619" s="33">
        <v>43308</v>
      </c>
      <c r="C619" t="s">
        <v>290</v>
      </c>
      <c r="D619">
        <v>126</v>
      </c>
      <c r="E619">
        <v>295</v>
      </c>
      <c r="F619">
        <v>37170</v>
      </c>
    </row>
    <row r="620" spans="1:6">
      <c r="A620" t="s">
        <v>904</v>
      </c>
      <c r="B620" s="33">
        <v>43308</v>
      </c>
      <c r="C620" t="s">
        <v>284</v>
      </c>
      <c r="D620">
        <v>146</v>
      </c>
      <c r="E620">
        <v>13</v>
      </c>
      <c r="F620">
        <v>1898</v>
      </c>
    </row>
    <row r="621" spans="1:6">
      <c r="A621" t="s">
        <v>905</v>
      </c>
      <c r="B621" s="33">
        <v>43308</v>
      </c>
      <c r="C621" t="s">
        <v>288</v>
      </c>
      <c r="D621">
        <v>205</v>
      </c>
      <c r="E621">
        <v>157</v>
      </c>
      <c r="F621">
        <v>32185</v>
      </c>
    </row>
    <row r="622" spans="1:6">
      <c r="A622" t="s">
        <v>906</v>
      </c>
      <c r="B622" s="33">
        <v>43308</v>
      </c>
      <c r="C622" t="s">
        <v>288</v>
      </c>
      <c r="D622">
        <v>282</v>
      </c>
      <c r="E622">
        <v>23</v>
      </c>
      <c r="F622">
        <v>6486</v>
      </c>
    </row>
    <row r="623" spans="1:6">
      <c r="A623" t="s">
        <v>907</v>
      </c>
      <c r="B623" s="33">
        <v>43308</v>
      </c>
      <c r="C623" t="s">
        <v>286</v>
      </c>
      <c r="D623">
        <v>258</v>
      </c>
      <c r="E623">
        <v>376</v>
      </c>
      <c r="F623">
        <v>97008</v>
      </c>
    </row>
    <row r="624" spans="1:6">
      <c r="A624" t="s">
        <v>908</v>
      </c>
      <c r="B624" s="33">
        <v>43308</v>
      </c>
      <c r="C624" t="s">
        <v>290</v>
      </c>
      <c r="D624">
        <v>222</v>
      </c>
      <c r="E624">
        <v>42</v>
      </c>
      <c r="F624">
        <v>9324</v>
      </c>
    </row>
    <row r="625" spans="1:6">
      <c r="A625" t="s">
        <v>909</v>
      </c>
      <c r="B625" s="33">
        <v>43309</v>
      </c>
      <c r="C625" t="s">
        <v>282</v>
      </c>
      <c r="D625">
        <v>159</v>
      </c>
      <c r="E625">
        <v>63</v>
      </c>
      <c r="F625">
        <v>10017</v>
      </c>
    </row>
    <row r="626" spans="1:6">
      <c r="A626" t="s">
        <v>910</v>
      </c>
      <c r="B626" s="33">
        <v>43309</v>
      </c>
      <c r="C626" t="s">
        <v>286</v>
      </c>
      <c r="D626">
        <v>107</v>
      </c>
      <c r="E626">
        <v>59</v>
      </c>
      <c r="F626">
        <v>6313</v>
      </c>
    </row>
    <row r="627" spans="1:6">
      <c r="A627" t="s">
        <v>911</v>
      </c>
      <c r="B627" s="33">
        <v>43309</v>
      </c>
      <c r="C627" t="s">
        <v>282</v>
      </c>
      <c r="D627">
        <v>93</v>
      </c>
      <c r="E627">
        <v>146</v>
      </c>
      <c r="F627">
        <v>13578</v>
      </c>
    </row>
    <row r="628" spans="1:6">
      <c r="A628" t="s">
        <v>912</v>
      </c>
      <c r="B628" s="33">
        <v>43309</v>
      </c>
      <c r="C628" t="s">
        <v>288</v>
      </c>
      <c r="D628">
        <v>159</v>
      </c>
      <c r="E628">
        <v>179</v>
      </c>
      <c r="F628">
        <v>28461</v>
      </c>
    </row>
    <row r="629" spans="1:6">
      <c r="A629" t="s">
        <v>913</v>
      </c>
      <c r="B629" s="33">
        <v>43309</v>
      </c>
      <c r="C629" t="s">
        <v>284</v>
      </c>
      <c r="D629">
        <v>132</v>
      </c>
      <c r="E629">
        <v>329</v>
      </c>
      <c r="F629">
        <v>43428</v>
      </c>
    </row>
    <row r="630" spans="1:6">
      <c r="A630" t="s">
        <v>914</v>
      </c>
      <c r="B630" s="33">
        <v>43309</v>
      </c>
      <c r="C630" t="s">
        <v>288</v>
      </c>
      <c r="D630">
        <v>50</v>
      </c>
      <c r="E630">
        <v>125</v>
      </c>
      <c r="F630">
        <v>6250</v>
      </c>
    </row>
    <row r="631" spans="1:6">
      <c r="A631" t="s">
        <v>915</v>
      </c>
      <c r="B631" s="33">
        <v>43309</v>
      </c>
      <c r="C631" t="s">
        <v>286</v>
      </c>
      <c r="D631">
        <v>246</v>
      </c>
      <c r="E631">
        <v>489</v>
      </c>
      <c r="F631">
        <v>120294</v>
      </c>
    </row>
    <row r="632" spans="1:6">
      <c r="A632" t="s">
        <v>916</v>
      </c>
      <c r="B632" s="33">
        <v>43309</v>
      </c>
      <c r="C632" t="s">
        <v>290</v>
      </c>
      <c r="D632">
        <v>240</v>
      </c>
      <c r="E632">
        <v>255</v>
      </c>
      <c r="F632">
        <v>61200</v>
      </c>
    </row>
    <row r="633" spans="1:6">
      <c r="A633" t="s">
        <v>917</v>
      </c>
      <c r="B633" s="33">
        <v>43309</v>
      </c>
      <c r="C633" t="s">
        <v>282</v>
      </c>
      <c r="D633">
        <v>21</v>
      </c>
      <c r="E633">
        <v>58</v>
      </c>
      <c r="F633">
        <v>1218</v>
      </c>
    </row>
    <row r="634" spans="1:6">
      <c r="A634" t="s">
        <v>918</v>
      </c>
      <c r="B634" s="33">
        <v>43310</v>
      </c>
      <c r="C634" t="s">
        <v>288</v>
      </c>
      <c r="D634">
        <v>103</v>
      </c>
      <c r="E634">
        <v>374</v>
      </c>
      <c r="F634">
        <v>38522</v>
      </c>
    </row>
    <row r="635" spans="1:6">
      <c r="A635" t="s">
        <v>919</v>
      </c>
      <c r="B635" s="33">
        <v>43310</v>
      </c>
      <c r="C635" t="s">
        <v>284</v>
      </c>
      <c r="D635">
        <v>162</v>
      </c>
      <c r="E635">
        <v>44</v>
      </c>
      <c r="F635">
        <v>7128</v>
      </c>
    </row>
    <row r="636" spans="1:6">
      <c r="A636" t="s">
        <v>920</v>
      </c>
      <c r="B636" s="33">
        <v>43310</v>
      </c>
      <c r="C636" t="s">
        <v>290</v>
      </c>
      <c r="D636">
        <v>45</v>
      </c>
      <c r="E636">
        <v>135</v>
      </c>
      <c r="F636">
        <v>6075</v>
      </c>
    </row>
    <row r="637" spans="1:6">
      <c r="A637" t="s">
        <v>921</v>
      </c>
      <c r="B637" s="33">
        <v>43310</v>
      </c>
      <c r="C637" t="s">
        <v>282</v>
      </c>
      <c r="D637">
        <v>109</v>
      </c>
      <c r="E637">
        <v>326</v>
      </c>
      <c r="F637">
        <v>35534</v>
      </c>
    </row>
    <row r="638" spans="1:6">
      <c r="A638" t="s">
        <v>922</v>
      </c>
      <c r="B638" s="33">
        <v>43310</v>
      </c>
      <c r="C638" t="s">
        <v>282</v>
      </c>
      <c r="D638">
        <v>229</v>
      </c>
      <c r="E638">
        <v>61</v>
      </c>
      <c r="F638">
        <v>13969</v>
      </c>
    </row>
    <row r="639" spans="1:6">
      <c r="A639" t="s">
        <v>923</v>
      </c>
      <c r="B639" s="33">
        <v>43310</v>
      </c>
      <c r="C639" t="s">
        <v>282</v>
      </c>
      <c r="D639">
        <v>54</v>
      </c>
      <c r="E639">
        <v>390</v>
      </c>
      <c r="F639">
        <v>21060</v>
      </c>
    </row>
    <row r="640" spans="1:6">
      <c r="A640" t="s">
        <v>924</v>
      </c>
      <c r="B640" s="33">
        <v>43310</v>
      </c>
      <c r="C640" t="s">
        <v>286</v>
      </c>
      <c r="D640">
        <v>215</v>
      </c>
      <c r="E640">
        <v>54</v>
      </c>
      <c r="F640">
        <v>11610</v>
      </c>
    </row>
    <row r="641" spans="1:6">
      <c r="A641" t="s">
        <v>925</v>
      </c>
      <c r="B641" s="33">
        <v>43311</v>
      </c>
      <c r="C641" t="s">
        <v>286</v>
      </c>
      <c r="D641">
        <v>130</v>
      </c>
      <c r="E641">
        <v>460</v>
      </c>
      <c r="F641">
        <v>59800</v>
      </c>
    </row>
    <row r="642" spans="1:6">
      <c r="A642" t="s">
        <v>926</v>
      </c>
      <c r="B642" s="33">
        <v>43311</v>
      </c>
      <c r="C642" t="s">
        <v>284</v>
      </c>
      <c r="D642">
        <v>76</v>
      </c>
      <c r="E642">
        <v>35</v>
      </c>
      <c r="F642">
        <v>2660</v>
      </c>
    </row>
    <row r="643" spans="1:6">
      <c r="A643" t="s">
        <v>927</v>
      </c>
      <c r="B643" s="33">
        <v>43311</v>
      </c>
      <c r="C643" t="s">
        <v>288</v>
      </c>
      <c r="D643">
        <v>38</v>
      </c>
      <c r="E643">
        <v>50</v>
      </c>
      <c r="F643">
        <v>1900</v>
      </c>
    </row>
    <row r="644" spans="1:6">
      <c r="A644" t="s">
        <v>928</v>
      </c>
      <c r="B644" s="33">
        <v>43311</v>
      </c>
      <c r="C644" t="s">
        <v>288</v>
      </c>
      <c r="D644">
        <v>39</v>
      </c>
      <c r="E644">
        <v>57</v>
      </c>
      <c r="F644">
        <v>2223</v>
      </c>
    </row>
    <row r="645" spans="1:6">
      <c r="A645" t="s">
        <v>929</v>
      </c>
      <c r="B645" s="33">
        <v>43311</v>
      </c>
      <c r="C645" t="s">
        <v>290</v>
      </c>
      <c r="D645">
        <v>270</v>
      </c>
      <c r="E645">
        <v>82</v>
      </c>
      <c r="F645">
        <v>22140</v>
      </c>
    </row>
    <row r="646" spans="1:6">
      <c r="A646" t="s">
        <v>930</v>
      </c>
      <c r="B646" s="33">
        <v>43311</v>
      </c>
      <c r="C646" t="s">
        <v>288</v>
      </c>
      <c r="D646">
        <v>283</v>
      </c>
      <c r="E646">
        <v>453</v>
      </c>
      <c r="F646">
        <v>128199</v>
      </c>
    </row>
    <row r="647" spans="1:6">
      <c r="A647" t="s">
        <v>931</v>
      </c>
      <c r="B647" s="33">
        <v>43311</v>
      </c>
      <c r="C647" t="s">
        <v>284</v>
      </c>
      <c r="D647">
        <v>177</v>
      </c>
      <c r="E647">
        <v>214</v>
      </c>
      <c r="F647">
        <v>37878</v>
      </c>
    </row>
    <row r="648" spans="1:6">
      <c r="A648" t="s">
        <v>932</v>
      </c>
      <c r="B648" s="33">
        <v>43311</v>
      </c>
      <c r="C648" t="s">
        <v>282</v>
      </c>
      <c r="D648">
        <v>136</v>
      </c>
      <c r="E648">
        <v>431</v>
      </c>
      <c r="F648">
        <v>58616</v>
      </c>
    </row>
    <row r="649" spans="1:6">
      <c r="A649" t="s">
        <v>933</v>
      </c>
      <c r="B649" s="33">
        <v>43311</v>
      </c>
      <c r="C649" t="s">
        <v>282</v>
      </c>
      <c r="D649">
        <v>202</v>
      </c>
      <c r="E649">
        <v>105</v>
      </c>
      <c r="F649">
        <v>21210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BA3A-F8B7-4857-8945-A1D806A48E37}">
  <dimension ref="A1:F325"/>
  <sheetViews>
    <sheetView workbookViewId="0">
      <selection activeCell="F7" sqref="F7"/>
    </sheetView>
  </sheetViews>
  <sheetFormatPr defaultRowHeight="14.4"/>
  <cols>
    <col min="1" max="1" width="11" bestFit="1" customWidth="1"/>
    <col min="2" max="2" width="10.33203125" bestFit="1" customWidth="1"/>
    <col min="3" max="3" width="12" bestFit="1" customWidth="1"/>
    <col min="4" max="4" width="10.5546875" bestFit="1" customWidth="1"/>
    <col min="5" max="5" width="7.33203125" bestFit="1" customWidth="1"/>
    <col min="6" max="6" width="12.109375" bestFit="1" customWidth="1"/>
  </cols>
  <sheetData>
    <row r="1" spans="1:6">
      <c r="A1" t="s">
        <v>276</v>
      </c>
      <c r="B1" t="s">
        <v>277</v>
      </c>
      <c r="C1" t="s">
        <v>278</v>
      </c>
      <c r="D1" t="s">
        <v>4</v>
      </c>
      <c r="E1" t="s">
        <v>279</v>
      </c>
      <c r="F1" t="s">
        <v>280</v>
      </c>
    </row>
    <row r="2" spans="1:6">
      <c r="A2" t="s">
        <v>610</v>
      </c>
      <c r="B2" s="33">
        <v>43282</v>
      </c>
      <c r="C2" t="s">
        <v>282</v>
      </c>
      <c r="D2">
        <v>300</v>
      </c>
      <c r="E2">
        <v>254</v>
      </c>
      <c r="F2">
        <v>76200</v>
      </c>
    </row>
    <row r="3" spans="1:6">
      <c r="A3" t="s">
        <v>611</v>
      </c>
      <c r="B3" s="33">
        <v>43282</v>
      </c>
      <c r="C3" t="s">
        <v>288</v>
      </c>
      <c r="D3">
        <v>250</v>
      </c>
      <c r="E3">
        <v>352</v>
      </c>
      <c r="F3">
        <v>88000</v>
      </c>
    </row>
    <row r="4" spans="1:6">
      <c r="A4" t="s">
        <v>612</v>
      </c>
      <c r="B4" s="33">
        <v>43282</v>
      </c>
      <c r="C4" t="s">
        <v>288</v>
      </c>
      <c r="D4">
        <v>295</v>
      </c>
      <c r="E4">
        <v>213</v>
      </c>
      <c r="F4">
        <v>62835</v>
      </c>
    </row>
    <row r="5" spans="1:6">
      <c r="A5" t="s">
        <v>613</v>
      </c>
      <c r="B5" s="33">
        <v>43282</v>
      </c>
      <c r="C5" t="s">
        <v>284</v>
      </c>
      <c r="D5">
        <v>560</v>
      </c>
      <c r="E5">
        <v>82</v>
      </c>
      <c r="F5">
        <v>45920</v>
      </c>
    </row>
    <row r="6" spans="1:6">
      <c r="A6" t="s">
        <v>614</v>
      </c>
      <c r="B6" s="33">
        <v>43282</v>
      </c>
      <c r="C6" t="s">
        <v>284</v>
      </c>
      <c r="D6">
        <v>154</v>
      </c>
      <c r="E6">
        <v>419</v>
      </c>
      <c r="F6">
        <v>64526</v>
      </c>
    </row>
    <row r="7" spans="1:6">
      <c r="A7" t="s">
        <v>615</v>
      </c>
      <c r="B7" s="33">
        <v>43282</v>
      </c>
      <c r="C7" t="s">
        <v>284</v>
      </c>
      <c r="D7">
        <v>122</v>
      </c>
      <c r="E7">
        <v>262</v>
      </c>
      <c r="F7">
        <v>31964</v>
      </c>
    </row>
    <row r="8" spans="1:6">
      <c r="A8" t="s">
        <v>616</v>
      </c>
      <c r="B8" s="33">
        <v>43282</v>
      </c>
      <c r="C8" t="s">
        <v>284</v>
      </c>
      <c r="D8">
        <v>66</v>
      </c>
      <c r="E8">
        <v>221</v>
      </c>
      <c r="F8">
        <v>14586</v>
      </c>
    </row>
    <row r="9" spans="1:6">
      <c r="A9" t="s">
        <v>617</v>
      </c>
      <c r="B9" s="33">
        <v>43282</v>
      </c>
      <c r="C9" t="s">
        <v>290</v>
      </c>
      <c r="D9">
        <v>110</v>
      </c>
      <c r="E9">
        <v>460</v>
      </c>
      <c r="F9">
        <v>50600</v>
      </c>
    </row>
    <row r="10" spans="1:6">
      <c r="A10" t="s">
        <v>618</v>
      </c>
      <c r="B10" s="33">
        <v>43282</v>
      </c>
      <c r="C10" t="s">
        <v>290</v>
      </c>
      <c r="D10">
        <v>185</v>
      </c>
      <c r="E10">
        <v>73</v>
      </c>
      <c r="F10">
        <v>13505</v>
      </c>
    </row>
    <row r="11" spans="1:6">
      <c r="A11" t="s">
        <v>619</v>
      </c>
      <c r="B11" s="33">
        <v>43282</v>
      </c>
      <c r="C11" t="s">
        <v>286</v>
      </c>
      <c r="D11">
        <v>103</v>
      </c>
      <c r="E11">
        <v>430</v>
      </c>
      <c r="F11">
        <v>44290</v>
      </c>
    </row>
    <row r="12" spans="1:6">
      <c r="A12" t="s">
        <v>620</v>
      </c>
      <c r="B12" s="33">
        <v>43282</v>
      </c>
      <c r="C12" t="s">
        <v>284</v>
      </c>
      <c r="D12">
        <v>18</v>
      </c>
      <c r="E12">
        <v>260</v>
      </c>
      <c r="F12">
        <v>4680</v>
      </c>
    </row>
    <row r="13" spans="1:6">
      <c r="A13" t="s">
        <v>621</v>
      </c>
      <c r="B13" s="33">
        <v>43283</v>
      </c>
      <c r="C13" t="s">
        <v>284</v>
      </c>
      <c r="D13">
        <v>108</v>
      </c>
      <c r="E13">
        <v>333</v>
      </c>
      <c r="F13">
        <v>35964</v>
      </c>
    </row>
    <row r="14" spans="1:6">
      <c r="A14" t="s">
        <v>622</v>
      </c>
      <c r="B14" s="33">
        <v>43283</v>
      </c>
      <c r="C14" t="s">
        <v>284</v>
      </c>
      <c r="D14">
        <v>274</v>
      </c>
      <c r="E14">
        <v>16</v>
      </c>
      <c r="F14">
        <v>4384</v>
      </c>
    </row>
    <row r="15" spans="1:6">
      <c r="A15" t="s">
        <v>623</v>
      </c>
      <c r="B15" s="33">
        <v>43283</v>
      </c>
      <c r="C15" t="s">
        <v>282</v>
      </c>
      <c r="D15">
        <v>119</v>
      </c>
      <c r="E15">
        <v>25</v>
      </c>
      <c r="F15">
        <v>2975</v>
      </c>
    </row>
    <row r="16" spans="1:6">
      <c r="A16" t="s">
        <v>624</v>
      </c>
      <c r="B16" s="33">
        <v>43283</v>
      </c>
      <c r="C16" t="s">
        <v>288</v>
      </c>
      <c r="D16">
        <v>196</v>
      </c>
      <c r="E16">
        <v>370</v>
      </c>
      <c r="F16">
        <v>72520</v>
      </c>
    </row>
    <row r="17" spans="1:6">
      <c r="A17" t="s">
        <v>625</v>
      </c>
      <c r="B17" s="33">
        <v>43283</v>
      </c>
      <c r="C17" t="s">
        <v>286</v>
      </c>
      <c r="D17">
        <v>204</v>
      </c>
      <c r="E17">
        <v>10</v>
      </c>
      <c r="F17">
        <v>2040</v>
      </c>
    </row>
    <row r="18" spans="1:6">
      <c r="A18" t="s">
        <v>626</v>
      </c>
      <c r="B18" s="33">
        <v>43283</v>
      </c>
      <c r="C18" t="s">
        <v>286</v>
      </c>
      <c r="D18">
        <v>44</v>
      </c>
      <c r="E18">
        <v>377</v>
      </c>
      <c r="F18">
        <v>16588</v>
      </c>
    </row>
    <row r="19" spans="1:6">
      <c r="A19" t="s">
        <v>627</v>
      </c>
      <c r="B19" s="33">
        <v>43283</v>
      </c>
      <c r="C19" t="s">
        <v>282</v>
      </c>
      <c r="D19">
        <v>181</v>
      </c>
      <c r="E19">
        <v>173</v>
      </c>
      <c r="F19">
        <v>31313</v>
      </c>
    </row>
    <row r="20" spans="1:6">
      <c r="A20" t="s">
        <v>628</v>
      </c>
      <c r="B20" s="33">
        <v>43284</v>
      </c>
      <c r="C20" t="s">
        <v>282</v>
      </c>
      <c r="D20">
        <v>275</v>
      </c>
      <c r="E20">
        <v>373</v>
      </c>
      <c r="F20">
        <v>102575</v>
      </c>
    </row>
    <row r="21" spans="1:6">
      <c r="A21" t="s">
        <v>629</v>
      </c>
      <c r="B21" s="33">
        <v>43284</v>
      </c>
      <c r="C21" t="s">
        <v>288</v>
      </c>
      <c r="D21">
        <v>208</v>
      </c>
      <c r="E21">
        <v>370</v>
      </c>
      <c r="F21">
        <v>76960</v>
      </c>
    </row>
    <row r="22" spans="1:6">
      <c r="A22" t="s">
        <v>630</v>
      </c>
      <c r="B22" s="33">
        <v>43284</v>
      </c>
      <c r="C22" t="s">
        <v>288</v>
      </c>
      <c r="D22">
        <v>122</v>
      </c>
      <c r="E22">
        <v>70</v>
      </c>
      <c r="F22">
        <v>8540</v>
      </c>
    </row>
    <row r="23" spans="1:6">
      <c r="A23" t="s">
        <v>631</v>
      </c>
      <c r="B23" s="33">
        <v>43284</v>
      </c>
      <c r="C23" t="s">
        <v>288</v>
      </c>
      <c r="D23">
        <v>213</v>
      </c>
      <c r="E23">
        <v>403</v>
      </c>
      <c r="F23">
        <v>85839</v>
      </c>
    </row>
    <row r="24" spans="1:6">
      <c r="A24" t="s">
        <v>632</v>
      </c>
      <c r="B24" s="33">
        <v>43284</v>
      </c>
      <c r="C24" t="s">
        <v>284</v>
      </c>
      <c r="D24">
        <v>285</v>
      </c>
      <c r="E24">
        <v>20</v>
      </c>
      <c r="F24">
        <v>5700</v>
      </c>
    </row>
    <row r="25" spans="1:6">
      <c r="A25" t="s">
        <v>633</v>
      </c>
      <c r="B25" s="33">
        <v>43284</v>
      </c>
      <c r="C25" t="s">
        <v>288</v>
      </c>
      <c r="D25">
        <v>135</v>
      </c>
      <c r="E25">
        <v>12</v>
      </c>
      <c r="F25">
        <v>1620</v>
      </c>
    </row>
    <row r="26" spans="1:6">
      <c r="A26" t="s">
        <v>634</v>
      </c>
      <c r="B26" s="33">
        <v>43284</v>
      </c>
      <c r="C26" t="s">
        <v>286</v>
      </c>
      <c r="D26">
        <v>23</v>
      </c>
      <c r="E26">
        <v>357</v>
      </c>
      <c r="F26">
        <v>8211</v>
      </c>
    </row>
    <row r="27" spans="1:6">
      <c r="A27" t="s">
        <v>635</v>
      </c>
      <c r="B27" s="33">
        <v>43284</v>
      </c>
      <c r="C27" t="s">
        <v>290</v>
      </c>
      <c r="D27">
        <v>119</v>
      </c>
      <c r="E27">
        <v>338</v>
      </c>
      <c r="F27">
        <v>40222</v>
      </c>
    </row>
    <row r="28" spans="1:6">
      <c r="A28" t="s">
        <v>636</v>
      </c>
      <c r="B28" s="33">
        <v>43284</v>
      </c>
      <c r="C28" t="s">
        <v>290</v>
      </c>
      <c r="D28">
        <v>170</v>
      </c>
      <c r="E28">
        <v>60</v>
      </c>
      <c r="F28">
        <v>10200</v>
      </c>
    </row>
    <row r="29" spans="1:6">
      <c r="A29" t="s">
        <v>637</v>
      </c>
      <c r="B29" s="33">
        <v>43284</v>
      </c>
      <c r="C29" t="s">
        <v>282</v>
      </c>
      <c r="D29">
        <v>21</v>
      </c>
      <c r="E29">
        <v>494</v>
      </c>
      <c r="F29">
        <v>10374</v>
      </c>
    </row>
    <row r="30" spans="1:6">
      <c r="A30" t="s">
        <v>638</v>
      </c>
      <c r="B30" s="33">
        <v>43284</v>
      </c>
      <c r="C30" t="s">
        <v>284</v>
      </c>
      <c r="D30">
        <v>247</v>
      </c>
      <c r="E30">
        <v>372</v>
      </c>
      <c r="F30">
        <v>91884</v>
      </c>
    </row>
    <row r="31" spans="1:6">
      <c r="A31" t="s">
        <v>639</v>
      </c>
      <c r="B31" s="33">
        <v>43284</v>
      </c>
      <c r="C31" t="s">
        <v>282</v>
      </c>
      <c r="D31">
        <v>75</v>
      </c>
      <c r="E31">
        <v>407</v>
      </c>
      <c r="F31">
        <v>30525</v>
      </c>
    </row>
    <row r="32" spans="1:6">
      <c r="A32" t="s">
        <v>640</v>
      </c>
      <c r="B32" s="33">
        <v>43284</v>
      </c>
      <c r="C32" t="s">
        <v>286</v>
      </c>
      <c r="D32">
        <v>87</v>
      </c>
      <c r="E32">
        <v>98</v>
      </c>
      <c r="F32">
        <v>8526</v>
      </c>
    </row>
    <row r="33" spans="1:6">
      <c r="A33" t="s">
        <v>641</v>
      </c>
      <c r="B33" s="33">
        <v>43285</v>
      </c>
      <c r="C33" t="s">
        <v>284</v>
      </c>
      <c r="D33">
        <v>79</v>
      </c>
      <c r="E33">
        <v>482</v>
      </c>
      <c r="F33">
        <v>38078</v>
      </c>
    </row>
    <row r="34" spans="1:6">
      <c r="A34" t="s">
        <v>642</v>
      </c>
      <c r="B34" s="33">
        <v>43285</v>
      </c>
      <c r="C34" t="s">
        <v>290</v>
      </c>
      <c r="D34">
        <v>68</v>
      </c>
      <c r="E34">
        <v>246</v>
      </c>
      <c r="F34">
        <v>16728</v>
      </c>
    </row>
    <row r="35" spans="1:6">
      <c r="A35" t="s">
        <v>643</v>
      </c>
      <c r="B35" s="33">
        <v>43285</v>
      </c>
      <c r="C35" t="s">
        <v>288</v>
      </c>
      <c r="D35">
        <v>170</v>
      </c>
      <c r="E35">
        <v>196</v>
      </c>
      <c r="F35">
        <v>33320</v>
      </c>
    </row>
    <row r="36" spans="1:6">
      <c r="A36" t="s">
        <v>644</v>
      </c>
      <c r="B36" s="33">
        <v>43285</v>
      </c>
      <c r="C36" t="s">
        <v>288</v>
      </c>
      <c r="D36">
        <v>84</v>
      </c>
      <c r="E36">
        <v>443</v>
      </c>
      <c r="F36">
        <v>37212</v>
      </c>
    </row>
    <row r="37" spans="1:6">
      <c r="A37" t="s">
        <v>645</v>
      </c>
      <c r="B37" s="33">
        <v>43285</v>
      </c>
      <c r="C37" t="s">
        <v>284</v>
      </c>
      <c r="D37">
        <v>187</v>
      </c>
      <c r="E37">
        <v>41</v>
      </c>
      <c r="F37">
        <v>7667</v>
      </c>
    </row>
    <row r="38" spans="1:6">
      <c r="A38" t="s">
        <v>646</v>
      </c>
      <c r="B38" s="33">
        <v>43285</v>
      </c>
      <c r="C38" t="s">
        <v>282</v>
      </c>
      <c r="D38">
        <v>41</v>
      </c>
      <c r="E38">
        <v>493</v>
      </c>
      <c r="F38">
        <v>20213</v>
      </c>
    </row>
    <row r="39" spans="1:6">
      <c r="A39" t="s">
        <v>647</v>
      </c>
      <c r="B39" s="33">
        <v>43285</v>
      </c>
      <c r="C39" t="s">
        <v>282</v>
      </c>
      <c r="D39">
        <v>106</v>
      </c>
      <c r="E39">
        <v>153</v>
      </c>
      <c r="F39">
        <v>16218</v>
      </c>
    </row>
    <row r="40" spans="1:6">
      <c r="A40" t="s">
        <v>648</v>
      </c>
      <c r="B40" s="33">
        <v>43285</v>
      </c>
      <c r="C40" t="s">
        <v>282</v>
      </c>
      <c r="D40">
        <v>23</v>
      </c>
      <c r="E40">
        <v>496</v>
      </c>
      <c r="F40">
        <v>11408</v>
      </c>
    </row>
    <row r="41" spans="1:6">
      <c r="A41" t="s">
        <v>649</v>
      </c>
      <c r="B41" s="33">
        <v>43285</v>
      </c>
      <c r="C41" t="s">
        <v>282</v>
      </c>
      <c r="D41">
        <v>16</v>
      </c>
      <c r="E41">
        <v>346</v>
      </c>
      <c r="F41">
        <v>5536</v>
      </c>
    </row>
    <row r="42" spans="1:6">
      <c r="A42" t="s">
        <v>650</v>
      </c>
      <c r="B42" s="33">
        <v>43286</v>
      </c>
      <c r="C42" t="s">
        <v>286</v>
      </c>
      <c r="D42">
        <v>235</v>
      </c>
      <c r="E42">
        <v>51</v>
      </c>
      <c r="F42">
        <v>11985</v>
      </c>
    </row>
    <row r="43" spans="1:6">
      <c r="A43" t="s">
        <v>651</v>
      </c>
      <c r="B43" s="33">
        <v>43286</v>
      </c>
      <c r="C43" t="s">
        <v>286</v>
      </c>
      <c r="D43">
        <v>26</v>
      </c>
      <c r="E43">
        <v>48</v>
      </c>
      <c r="F43">
        <v>1248</v>
      </c>
    </row>
    <row r="44" spans="1:6">
      <c r="A44" t="s">
        <v>652</v>
      </c>
      <c r="B44" s="33">
        <v>43286</v>
      </c>
      <c r="C44" t="s">
        <v>288</v>
      </c>
      <c r="D44">
        <v>148</v>
      </c>
      <c r="E44">
        <v>147</v>
      </c>
      <c r="F44">
        <v>21756</v>
      </c>
    </row>
    <row r="45" spans="1:6">
      <c r="A45" t="s">
        <v>653</v>
      </c>
      <c r="B45" s="33">
        <v>43286</v>
      </c>
      <c r="C45" t="s">
        <v>290</v>
      </c>
      <c r="D45">
        <v>282</v>
      </c>
      <c r="E45">
        <v>27</v>
      </c>
      <c r="F45">
        <v>7614</v>
      </c>
    </row>
    <row r="46" spans="1:6">
      <c r="A46" t="s">
        <v>654</v>
      </c>
      <c r="B46" s="33">
        <v>43286</v>
      </c>
      <c r="C46" t="s">
        <v>284</v>
      </c>
      <c r="D46">
        <v>65</v>
      </c>
      <c r="E46">
        <v>1</v>
      </c>
      <c r="F46">
        <v>65</v>
      </c>
    </row>
    <row r="47" spans="1:6">
      <c r="A47" t="s">
        <v>655</v>
      </c>
      <c r="B47" s="33">
        <v>43286</v>
      </c>
      <c r="C47" t="s">
        <v>282</v>
      </c>
      <c r="D47">
        <v>109</v>
      </c>
      <c r="E47">
        <v>37</v>
      </c>
      <c r="F47">
        <v>4033</v>
      </c>
    </row>
    <row r="48" spans="1:6">
      <c r="A48" t="s">
        <v>656</v>
      </c>
      <c r="B48" s="33">
        <v>43286</v>
      </c>
      <c r="C48" t="s">
        <v>290</v>
      </c>
      <c r="D48">
        <v>28</v>
      </c>
      <c r="E48">
        <v>119</v>
      </c>
      <c r="F48">
        <v>3332</v>
      </c>
    </row>
    <row r="49" spans="1:6">
      <c r="A49" t="s">
        <v>657</v>
      </c>
      <c r="B49" s="33">
        <v>43286</v>
      </c>
      <c r="C49" t="s">
        <v>284</v>
      </c>
      <c r="D49">
        <v>45</v>
      </c>
      <c r="E49">
        <v>31</v>
      </c>
      <c r="F49">
        <v>1395</v>
      </c>
    </row>
    <row r="50" spans="1:6">
      <c r="A50" t="s">
        <v>658</v>
      </c>
      <c r="B50" s="33">
        <v>43287</v>
      </c>
      <c r="C50" t="s">
        <v>286</v>
      </c>
      <c r="D50">
        <v>294</v>
      </c>
      <c r="E50">
        <v>106</v>
      </c>
      <c r="F50">
        <v>31164</v>
      </c>
    </row>
    <row r="51" spans="1:6">
      <c r="A51" t="s">
        <v>659</v>
      </c>
      <c r="B51" s="33">
        <v>43287</v>
      </c>
      <c r="C51" t="s">
        <v>284</v>
      </c>
      <c r="D51">
        <v>156</v>
      </c>
      <c r="E51">
        <v>205</v>
      </c>
      <c r="F51">
        <v>31980</v>
      </c>
    </row>
    <row r="52" spans="1:6">
      <c r="A52" t="s">
        <v>660</v>
      </c>
      <c r="B52" s="33">
        <v>43287</v>
      </c>
      <c r="C52" t="s">
        <v>282</v>
      </c>
      <c r="D52">
        <v>229</v>
      </c>
      <c r="E52">
        <v>55</v>
      </c>
      <c r="F52">
        <v>12595</v>
      </c>
    </row>
    <row r="53" spans="1:6">
      <c r="A53" t="s">
        <v>661</v>
      </c>
      <c r="B53" s="33">
        <v>43287</v>
      </c>
      <c r="C53" t="s">
        <v>288</v>
      </c>
      <c r="D53">
        <v>186</v>
      </c>
      <c r="E53">
        <v>390</v>
      </c>
      <c r="F53">
        <v>72540</v>
      </c>
    </row>
    <row r="54" spans="1:6">
      <c r="A54" t="s">
        <v>662</v>
      </c>
      <c r="B54" s="33">
        <v>43287</v>
      </c>
      <c r="C54" t="s">
        <v>290</v>
      </c>
      <c r="D54">
        <v>136</v>
      </c>
      <c r="E54">
        <v>73</v>
      </c>
      <c r="F54">
        <v>9928</v>
      </c>
    </row>
    <row r="55" spans="1:6">
      <c r="A55" t="s">
        <v>663</v>
      </c>
      <c r="B55" s="33">
        <v>43287</v>
      </c>
      <c r="C55" t="s">
        <v>282</v>
      </c>
      <c r="D55">
        <v>154</v>
      </c>
      <c r="E55">
        <v>311</v>
      </c>
      <c r="F55">
        <v>47894</v>
      </c>
    </row>
    <row r="56" spans="1:6">
      <c r="A56" t="s">
        <v>664</v>
      </c>
      <c r="B56" s="33">
        <v>43287</v>
      </c>
      <c r="C56" t="s">
        <v>290</v>
      </c>
      <c r="D56">
        <v>263</v>
      </c>
      <c r="E56">
        <v>492</v>
      </c>
      <c r="F56">
        <v>129396</v>
      </c>
    </row>
    <row r="57" spans="1:6">
      <c r="A57" t="s">
        <v>665</v>
      </c>
      <c r="B57" s="33">
        <v>43287</v>
      </c>
      <c r="C57" t="s">
        <v>282</v>
      </c>
      <c r="D57">
        <v>183</v>
      </c>
      <c r="E57">
        <v>245</v>
      </c>
      <c r="F57">
        <v>44835</v>
      </c>
    </row>
    <row r="58" spans="1:6">
      <c r="A58" t="s">
        <v>666</v>
      </c>
      <c r="B58" s="33">
        <v>43287</v>
      </c>
      <c r="C58" t="s">
        <v>284</v>
      </c>
      <c r="D58">
        <v>106</v>
      </c>
      <c r="E58">
        <v>97</v>
      </c>
      <c r="F58">
        <v>10282</v>
      </c>
    </row>
    <row r="59" spans="1:6">
      <c r="A59" t="s">
        <v>667</v>
      </c>
      <c r="B59" s="33">
        <v>43287</v>
      </c>
      <c r="C59" t="s">
        <v>288</v>
      </c>
      <c r="D59">
        <v>39</v>
      </c>
      <c r="E59">
        <v>66</v>
      </c>
      <c r="F59">
        <v>2574</v>
      </c>
    </row>
    <row r="60" spans="1:6">
      <c r="A60" t="s">
        <v>668</v>
      </c>
      <c r="B60" s="33">
        <v>43287</v>
      </c>
      <c r="C60" t="s">
        <v>284</v>
      </c>
      <c r="D60">
        <v>70</v>
      </c>
      <c r="E60">
        <v>91</v>
      </c>
      <c r="F60">
        <v>6370</v>
      </c>
    </row>
    <row r="61" spans="1:6">
      <c r="A61" t="s">
        <v>669</v>
      </c>
      <c r="B61" s="33">
        <v>43287</v>
      </c>
      <c r="C61" t="s">
        <v>282</v>
      </c>
      <c r="D61">
        <v>286</v>
      </c>
      <c r="E61">
        <v>9</v>
      </c>
      <c r="F61">
        <v>2574</v>
      </c>
    </row>
    <row r="62" spans="1:6">
      <c r="A62" t="s">
        <v>670</v>
      </c>
      <c r="B62" s="33">
        <v>43287</v>
      </c>
      <c r="C62" t="s">
        <v>284</v>
      </c>
      <c r="D62">
        <v>51</v>
      </c>
      <c r="E62">
        <v>345</v>
      </c>
      <c r="F62">
        <v>17595</v>
      </c>
    </row>
    <row r="63" spans="1:6">
      <c r="A63" t="s">
        <v>671</v>
      </c>
      <c r="B63" s="33">
        <v>43287</v>
      </c>
      <c r="C63" t="s">
        <v>286</v>
      </c>
      <c r="D63">
        <v>187</v>
      </c>
      <c r="E63">
        <v>407</v>
      </c>
      <c r="F63">
        <v>76109</v>
      </c>
    </row>
    <row r="64" spans="1:6">
      <c r="A64" t="s">
        <v>672</v>
      </c>
      <c r="B64" s="33">
        <v>43287</v>
      </c>
      <c r="C64" t="s">
        <v>282</v>
      </c>
      <c r="D64">
        <v>103</v>
      </c>
      <c r="E64">
        <v>242</v>
      </c>
      <c r="F64">
        <v>24926</v>
      </c>
    </row>
    <row r="65" spans="1:6">
      <c r="A65" t="s">
        <v>673</v>
      </c>
      <c r="B65" s="33">
        <v>43288</v>
      </c>
      <c r="C65" t="s">
        <v>282</v>
      </c>
      <c r="D65">
        <v>154</v>
      </c>
      <c r="E65">
        <v>21</v>
      </c>
      <c r="F65">
        <v>3234</v>
      </c>
    </row>
    <row r="66" spans="1:6">
      <c r="A66" t="s">
        <v>674</v>
      </c>
      <c r="B66" s="33">
        <v>43288</v>
      </c>
      <c r="C66" t="s">
        <v>284</v>
      </c>
      <c r="D66">
        <v>119</v>
      </c>
      <c r="E66">
        <v>18</v>
      </c>
      <c r="F66">
        <v>2142</v>
      </c>
    </row>
    <row r="67" spans="1:6">
      <c r="A67" t="s">
        <v>675</v>
      </c>
      <c r="B67" s="33">
        <v>43288</v>
      </c>
      <c r="C67" t="s">
        <v>282</v>
      </c>
      <c r="D67">
        <v>129</v>
      </c>
      <c r="E67">
        <v>34</v>
      </c>
      <c r="F67">
        <v>4386</v>
      </c>
    </row>
    <row r="68" spans="1:6">
      <c r="A68" t="s">
        <v>676</v>
      </c>
      <c r="B68" s="33">
        <v>43288</v>
      </c>
      <c r="C68" t="s">
        <v>284</v>
      </c>
      <c r="D68">
        <v>87</v>
      </c>
      <c r="E68">
        <v>29</v>
      </c>
      <c r="F68">
        <v>2523</v>
      </c>
    </row>
    <row r="69" spans="1:6">
      <c r="A69" t="s">
        <v>677</v>
      </c>
      <c r="B69" s="33">
        <v>43288</v>
      </c>
      <c r="C69" t="s">
        <v>282</v>
      </c>
      <c r="D69">
        <v>100</v>
      </c>
      <c r="E69">
        <v>95</v>
      </c>
      <c r="F69">
        <v>9500</v>
      </c>
    </row>
    <row r="70" spans="1:6">
      <c r="A70" t="s">
        <v>678</v>
      </c>
      <c r="B70" s="33">
        <v>43288</v>
      </c>
      <c r="C70" t="s">
        <v>290</v>
      </c>
      <c r="D70">
        <v>104</v>
      </c>
      <c r="E70">
        <v>182</v>
      </c>
      <c r="F70">
        <v>18928</v>
      </c>
    </row>
    <row r="71" spans="1:6">
      <c r="A71" t="s">
        <v>679</v>
      </c>
      <c r="B71" s="33">
        <v>43288</v>
      </c>
      <c r="C71" t="s">
        <v>284</v>
      </c>
      <c r="D71">
        <v>241</v>
      </c>
      <c r="E71">
        <v>317</v>
      </c>
      <c r="F71">
        <v>76397</v>
      </c>
    </row>
    <row r="72" spans="1:6">
      <c r="A72" t="s">
        <v>680</v>
      </c>
      <c r="B72" s="33">
        <v>43288</v>
      </c>
      <c r="C72" t="s">
        <v>282</v>
      </c>
      <c r="D72">
        <v>58</v>
      </c>
      <c r="E72">
        <v>15</v>
      </c>
      <c r="F72">
        <v>870</v>
      </c>
    </row>
    <row r="73" spans="1:6">
      <c r="A73" t="s">
        <v>681</v>
      </c>
      <c r="B73" s="33">
        <v>43288</v>
      </c>
      <c r="C73" t="s">
        <v>282</v>
      </c>
      <c r="D73">
        <v>249</v>
      </c>
      <c r="E73">
        <v>93</v>
      </c>
      <c r="F73">
        <v>23157</v>
      </c>
    </row>
    <row r="74" spans="1:6">
      <c r="A74" t="s">
        <v>682</v>
      </c>
      <c r="B74" s="33">
        <v>43288</v>
      </c>
      <c r="C74" t="s">
        <v>282</v>
      </c>
      <c r="D74">
        <v>213</v>
      </c>
      <c r="E74">
        <v>121</v>
      </c>
      <c r="F74">
        <v>25773</v>
      </c>
    </row>
    <row r="75" spans="1:6">
      <c r="A75" t="s">
        <v>683</v>
      </c>
      <c r="B75" s="33">
        <v>43288</v>
      </c>
      <c r="C75" t="s">
        <v>286</v>
      </c>
      <c r="D75">
        <v>20</v>
      </c>
      <c r="E75">
        <v>59</v>
      </c>
      <c r="F75">
        <v>1180</v>
      </c>
    </row>
    <row r="76" spans="1:6">
      <c r="A76" t="s">
        <v>684</v>
      </c>
      <c r="B76" s="33">
        <v>43288</v>
      </c>
      <c r="C76" t="s">
        <v>282</v>
      </c>
      <c r="D76">
        <v>143</v>
      </c>
      <c r="E76">
        <v>92</v>
      </c>
      <c r="F76">
        <v>13156</v>
      </c>
    </row>
    <row r="77" spans="1:6">
      <c r="A77" t="s">
        <v>685</v>
      </c>
      <c r="B77" s="33">
        <v>43288</v>
      </c>
      <c r="C77" t="s">
        <v>288</v>
      </c>
      <c r="D77">
        <v>99</v>
      </c>
      <c r="E77">
        <v>437</v>
      </c>
      <c r="F77">
        <v>43263</v>
      </c>
    </row>
    <row r="78" spans="1:6">
      <c r="A78" t="s">
        <v>686</v>
      </c>
      <c r="B78" s="33">
        <v>43289</v>
      </c>
      <c r="C78" t="s">
        <v>288</v>
      </c>
      <c r="D78">
        <v>102</v>
      </c>
      <c r="E78">
        <v>81</v>
      </c>
      <c r="F78">
        <v>8262</v>
      </c>
    </row>
    <row r="79" spans="1:6">
      <c r="A79" t="s">
        <v>687</v>
      </c>
      <c r="B79" s="33">
        <v>43289</v>
      </c>
      <c r="C79" t="s">
        <v>282</v>
      </c>
      <c r="D79">
        <v>202</v>
      </c>
      <c r="E79">
        <v>230</v>
      </c>
      <c r="F79">
        <v>46460</v>
      </c>
    </row>
    <row r="80" spans="1:6">
      <c r="A80" t="s">
        <v>688</v>
      </c>
      <c r="B80" s="33">
        <v>43289</v>
      </c>
      <c r="C80" t="s">
        <v>282</v>
      </c>
      <c r="D80">
        <v>160</v>
      </c>
      <c r="E80">
        <v>37</v>
      </c>
      <c r="F80">
        <v>5920</v>
      </c>
    </row>
    <row r="81" spans="1:6">
      <c r="A81" t="s">
        <v>689</v>
      </c>
      <c r="B81" s="33">
        <v>43289</v>
      </c>
      <c r="C81" t="s">
        <v>288</v>
      </c>
      <c r="D81">
        <v>228</v>
      </c>
      <c r="E81">
        <v>338</v>
      </c>
      <c r="F81">
        <v>77064</v>
      </c>
    </row>
    <row r="82" spans="1:6">
      <c r="A82" t="s">
        <v>690</v>
      </c>
      <c r="B82" s="33">
        <v>43289</v>
      </c>
      <c r="C82" t="s">
        <v>286</v>
      </c>
      <c r="D82">
        <v>28</v>
      </c>
      <c r="E82">
        <v>13</v>
      </c>
      <c r="F82">
        <v>364</v>
      </c>
    </row>
    <row r="83" spans="1:6">
      <c r="A83" t="s">
        <v>691</v>
      </c>
      <c r="B83" s="33">
        <v>43289</v>
      </c>
      <c r="C83" t="s">
        <v>282</v>
      </c>
      <c r="D83">
        <v>282</v>
      </c>
      <c r="E83">
        <v>265</v>
      </c>
      <c r="F83">
        <v>74730</v>
      </c>
    </row>
    <row r="84" spans="1:6">
      <c r="A84" t="s">
        <v>692</v>
      </c>
      <c r="B84" s="33">
        <v>43289</v>
      </c>
      <c r="C84" t="s">
        <v>288</v>
      </c>
      <c r="D84">
        <v>118</v>
      </c>
      <c r="E84">
        <v>437</v>
      </c>
      <c r="F84">
        <v>51566</v>
      </c>
    </row>
    <row r="85" spans="1:6">
      <c r="A85" t="s">
        <v>693</v>
      </c>
      <c r="B85" s="33">
        <v>43289</v>
      </c>
      <c r="C85" t="s">
        <v>286</v>
      </c>
      <c r="D85">
        <v>110</v>
      </c>
      <c r="E85">
        <v>34</v>
      </c>
      <c r="F85">
        <v>3740</v>
      </c>
    </row>
    <row r="86" spans="1:6">
      <c r="A86" t="s">
        <v>694</v>
      </c>
      <c r="B86" s="33">
        <v>43289</v>
      </c>
      <c r="C86" t="s">
        <v>290</v>
      </c>
      <c r="D86">
        <v>262</v>
      </c>
      <c r="E86">
        <v>32</v>
      </c>
      <c r="F86">
        <v>8384</v>
      </c>
    </row>
    <row r="87" spans="1:6">
      <c r="A87" t="s">
        <v>695</v>
      </c>
      <c r="B87" s="33">
        <v>43289</v>
      </c>
      <c r="C87" t="s">
        <v>286</v>
      </c>
      <c r="D87">
        <v>203</v>
      </c>
      <c r="E87">
        <v>270</v>
      </c>
      <c r="F87">
        <v>54810</v>
      </c>
    </row>
    <row r="88" spans="1:6">
      <c r="A88" t="s">
        <v>696</v>
      </c>
      <c r="B88" s="33">
        <v>43289</v>
      </c>
      <c r="C88" t="s">
        <v>282</v>
      </c>
      <c r="D88">
        <v>134</v>
      </c>
      <c r="E88">
        <v>406</v>
      </c>
      <c r="F88">
        <v>54404</v>
      </c>
    </row>
    <row r="89" spans="1:6">
      <c r="A89" t="s">
        <v>697</v>
      </c>
      <c r="B89" s="33">
        <v>43290</v>
      </c>
      <c r="C89" t="s">
        <v>288</v>
      </c>
      <c r="D89">
        <v>140</v>
      </c>
      <c r="E89">
        <v>168</v>
      </c>
      <c r="F89">
        <v>23520</v>
      </c>
    </row>
    <row r="90" spans="1:6">
      <c r="A90" t="s">
        <v>698</v>
      </c>
      <c r="B90" s="33">
        <v>43290</v>
      </c>
      <c r="C90" t="s">
        <v>290</v>
      </c>
      <c r="D90">
        <v>210</v>
      </c>
      <c r="E90">
        <v>409</v>
      </c>
      <c r="F90">
        <v>85890</v>
      </c>
    </row>
    <row r="91" spans="1:6">
      <c r="A91" t="s">
        <v>699</v>
      </c>
      <c r="B91" s="33">
        <v>43290</v>
      </c>
      <c r="C91" t="s">
        <v>282</v>
      </c>
      <c r="D91">
        <v>233</v>
      </c>
      <c r="E91">
        <v>18</v>
      </c>
      <c r="F91">
        <v>4194</v>
      </c>
    </row>
    <row r="92" spans="1:6">
      <c r="A92" t="s">
        <v>700</v>
      </c>
      <c r="B92" s="33">
        <v>43290</v>
      </c>
      <c r="C92" t="s">
        <v>282</v>
      </c>
      <c r="D92">
        <v>147</v>
      </c>
      <c r="E92">
        <v>267</v>
      </c>
      <c r="F92">
        <v>39249</v>
      </c>
    </row>
    <row r="93" spans="1:6">
      <c r="A93" t="s">
        <v>701</v>
      </c>
      <c r="B93" s="33">
        <v>43290</v>
      </c>
      <c r="C93" t="s">
        <v>288</v>
      </c>
      <c r="D93">
        <v>92</v>
      </c>
      <c r="E93">
        <v>385</v>
      </c>
      <c r="F93">
        <v>35420</v>
      </c>
    </row>
    <row r="94" spans="1:6">
      <c r="A94" t="s">
        <v>702</v>
      </c>
      <c r="B94" s="33">
        <v>43290</v>
      </c>
      <c r="C94" t="s">
        <v>288</v>
      </c>
      <c r="D94">
        <v>135</v>
      </c>
      <c r="E94">
        <v>468</v>
      </c>
      <c r="F94">
        <v>63180</v>
      </c>
    </row>
    <row r="95" spans="1:6">
      <c r="A95" t="s">
        <v>703</v>
      </c>
      <c r="B95" s="33">
        <v>43291</v>
      </c>
      <c r="C95" t="s">
        <v>286</v>
      </c>
      <c r="D95">
        <v>151</v>
      </c>
      <c r="E95">
        <v>163</v>
      </c>
      <c r="F95">
        <v>24613</v>
      </c>
    </row>
    <row r="96" spans="1:6">
      <c r="A96" t="s">
        <v>704</v>
      </c>
      <c r="B96" s="33">
        <v>43291</v>
      </c>
      <c r="C96" t="s">
        <v>290</v>
      </c>
      <c r="D96">
        <v>27</v>
      </c>
      <c r="E96">
        <v>98</v>
      </c>
      <c r="F96">
        <v>2646</v>
      </c>
    </row>
    <row r="97" spans="1:6">
      <c r="A97" t="s">
        <v>705</v>
      </c>
      <c r="B97" s="33">
        <v>43291</v>
      </c>
      <c r="C97" t="s">
        <v>290</v>
      </c>
      <c r="D97">
        <v>114</v>
      </c>
      <c r="E97">
        <v>34</v>
      </c>
      <c r="F97">
        <v>3876</v>
      </c>
    </row>
    <row r="98" spans="1:6">
      <c r="A98" t="s">
        <v>706</v>
      </c>
      <c r="B98" s="33">
        <v>43291</v>
      </c>
      <c r="C98" t="s">
        <v>282</v>
      </c>
      <c r="D98">
        <v>269</v>
      </c>
      <c r="E98">
        <v>176</v>
      </c>
      <c r="F98">
        <v>47344</v>
      </c>
    </row>
    <row r="99" spans="1:6">
      <c r="A99" t="s">
        <v>707</v>
      </c>
      <c r="B99" s="33">
        <v>43291</v>
      </c>
      <c r="C99" t="s">
        <v>286</v>
      </c>
      <c r="D99">
        <v>213</v>
      </c>
      <c r="E99">
        <v>279</v>
      </c>
      <c r="F99">
        <v>59427</v>
      </c>
    </row>
    <row r="100" spans="1:6">
      <c r="A100" t="s">
        <v>708</v>
      </c>
      <c r="B100" s="33">
        <v>43291</v>
      </c>
      <c r="C100" t="s">
        <v>284</v>
      </c>
      <c r="D100">
        <v>53</v>
      </c>
      <c r="E100">
        <v>68</v>
      </c>
      <c r="F100">
        <v>3604</v>
      </c>
    </row>
    <row r="101" spans="1:6">
      <c r="A101" t="s">
        <v>709</v>
      </c>
      <c r="B101" s="33">
        <v>43291</v>
      </c>
      <c r="C101" t="s">
        <v>282</v>
      </c>
      <c r="D101">
        <v>298</v>
      </c>
      <c r="E101">
        <v>367</v>
      </c>
      <c r="F101">
        <v>109366</v>
      </c>
    </row>
    <row r="102" spans="1:6">
      <c r="A102" t="s">
        <v>710</v>
      </c>
      <c r="B102" s="33">
        <v>43291</v>
      </c>
      <c r="C102" t="s">
        <v>284</v>
      </c>
      <c r="D102">
        <v>42</v>
      </c>
      <c r="E102">
        <v>173</v>
      </c>
      <c r="F102">
        <v>7266</v>
      </c>
    </row>
    <row r="103" spans="1:6">
      <c r="A103" t="s">
        <v>711</v>
      </c>
      <c r="B103" s="33">
        <v>43291</v>
      </c>
      <c r="C103" t="s">
        <v>286</v>
      </c>
      <c r="D103">
        <v>295</v>
      </c>
      <c r="E103">
        <v>80</v>
      </c>
      <c r="F103">
        <v>23600</v>
      </c>
    </row>
    <row r="104" spans="1:6">
      <c r="A104" t="s">
        <v>712</v>
      </c>
      <c r="B104" s="33">
        <v>43291</v>
      </c>
      <c r="C104" t="s">
        <v>282</v>
      </c>
      <c r="D104">
        <v>157</v>
      </c>
      <c r="E104">
        <v>155</v>
      </c>
      <c r="F104">
        <v>24335</v>
      </c>
    </row>
    <row r="105" spans="1:6">
      <c r="A105" t="s">
        <v>713</v>
      </c>
      <c r="B105" s="33">
        <v>43291</v>
      </c>
      <c r="C105" t="s">
        <v>290</v>
      </c>
      <c r="D105">
        <v>68</v>
      </c>
      <c r="E105">
        <v>138</v>
      </c>
      <c r="F105">
        <v>9384</v>
      </c>
    </row>
    <row r="106" spans="1:6">
      <c r="A106" t="s">
        <v>714</v>
      </c>
      <c r="B106" s="33">
        <v>43291</v>
      </c>
      <c r="C106" t="s">
        <v>286</v>
      </c>
      <c r="D106">
        <v>146</v>
      </c>
      <c r="E106">
        <v>31</v>
      </c>
      <c r="F106">
        <v>4526</v>
      </c>
    </row>
    <row r="107" spans="1:6">
      <c r="A107" t="s">
        <v>715</v>
      </c>
      <c r="B107" s="33">
        <v>43291</v>
      </c>
      <c r="C107" t="s">
        <v>282</v>
      </c>
      <c r="D107">
        <v>267</v>
      </c>
      <c r="E107">
        <v>87</v>
      </c>
      <c r="F107">
        <v>23229</v>
      </c>
    </row>
    <row r="108" spans="1:6">
      <c r="A108" t="s">
        <v>716</v>
      </c>
      <c r="B108" s="33">
        <v>43291</v>
      </c>
      <c r="C108" t="s">
        <v>288</v>
      </c>
      <c r="D108">
        <v>68</v>
      </c>
      <c r="E108">
        <v>138</v>
      </c>
      <c r="F108">
        <v>9384</v>
      </c>
    </row>
    <row r="109" spans="1:6">
      <c r="A109" t="s">
        <v>717</v>
      </c>
      <c r="B109" s="33">
        <v>43291</v>
      </c>
      <c r="C109" t="s">
        <v>286</v>
      </c>
      <c r="D109">
        <v>227</v>
      </c>
      <c r="E109">
        <v>267</v>
      </c>
      <c r="F109">
        <v>60609</v>
      </c>
    </row>
    <row r="110" spans="1:6">
      <c r="A110" t="s">
        <v>718</v>
      </c>
      <c r="B110" s="33">
        <v>43291</v>
      </c>
      <c r="C110" t="s">
        <v>290</v>
      </c>
      <c r="D110">
        <v>228</v>
      </c>
      <c r="E110">
        <v>467</v>
      </c>
      <c r="F110">
        <v>106476</v>
      </c>
    </row>
    <row r="111" spans="1:6">
      <c r="A111" t="s">
        <v>719</v>
      </c>
      <c r="B111" s="33">
        <v>43291</v>
      </c>
      <c r="C111" t="s">
        <v>282</v>
      </c>
      <c r="D111">
        <v>87</v>
      </c>
      <c r="E111">
        <v>359</v>
      </c>
      <c r="F111">
        <v>31233</v>
      </c>
    </row>
    <row r="112" spans="1:6">
      <c r="A112" t="s">
        <v>720</v>
      </c>
      <c r="B112" s="33">
        <v>43291</v>
      </c>
      <c r="C112" t="s">
        <v>290</v>
      </c>
      <c r="D112">
        <v>80</v>
      </c>
      <c r="E112">
        <v>492</v>
      </c>
      <c r="F112">
        <v>39360</v>
      </c>
    </row>
    <row r="113" spans="1:6">
      <c r="A113" t="s">
        <v>721</v>
      </c>
      <c r="B113" s="33">
        <v>43291</v>
      </c>
      <c r="C113" t="s">
        <v>286</v>
      </c>
      <c r="D113">
        <v>99</v>
      </c>
      <c r="E113">
        <v>336</v>
      </c>
      <c r="F113">
        <v>33264</v>
      </c>
    </row>
    <row r="114" spans="1:6">
      <c r="A114" t="s">
        <v>722</v>
      </c>
      <c r="B114" s="33">
        <v>43292</v>
      </c>
      <c r="C114" t="s">
        <v>284</v>
      </c>
      <c r="D114">
        <v>96</v>
      </c>
      <c r="E114">
        <v>473</v>
      </c>
      <c r="F114">
        <v>45408</v>
      </c>
    </row>
    <row r="115" spans="1:6">
      <c r="A115" t="s">
        <v>723</v>
      </c>
      <c r="B115" s="33">
        <v>43292</v>
      </c>
      <c r="C115" t="s">
        <v>286</v>
      </c>
      <c r="D115">
        <v>23</v>
      </c>
      <c r="E115">
        <v>351</v>
      </c>
      <c r="F115">
        <v>8073</v>
      </c>
    </row>
    <row r="116" spans="1:6">
      <c r="A116" t="s">
        <v>724</v>
      </c>
      <c r="B116" s="33">
        <v>43292</v>
      </c>
      <c r="C116" t="s">
        <v>284</v>
      </c>
      <c r="D116">
        <v>72</v>
      </c>
      <c r="E116">
        <v>95</v>
      </c>
      <c r="F116">
        <v>6840</v>
      </c>
    </row>
    <row r="117" spans="1:6">
      <c r="A117" t="s">
        <v>725</v>
      </c>
      <c r="B117" s="33">
        <v>43292</v>
      </c>
      <c r="C117" t="s">
        <v>284</v>
      </c>
      <c r="D117">
        <v>30</v>
      </c>
      <c r="E117">
        <v>297</v>
      </c>
      <c r="F117">
        <v>8910</v>
      </c>
    </row>
    <row r="118" spans="1:6">
      <c r="A118" t="s">
        <v>726</v>
      </c>
      <c r="B118" s="33">
        <v>43292</v>
      </c>
      <c r="C118" t="s">
        <v>286</v>
      </c>
      <c r="D118">
        <v>83</v>
      </c>
      <c r="E118">
        <v>2</v>
      </c>
      <c r="F118">
        <v>166</v>
      </c>
    </row>
    <row r="119" spans="1:6">
      <c r="A119" t="s">
        <v>727</v>
      </c>
      <c r="B119" s="33">
        <v>43292</v>
      </c>
      <c r="C119" t="s">
        <v>282</v>
      </c>
      <c r="D119">
        <v>263</v>
      </c>
      <c r="E119">
        <v>133</v>
      </c>
      <c r="F119">
        <v>34979</v>
      </c>
    </row>
    <row r="120" spans="1:6">
      <c r="A120" t="s">
        <v>728</v>
      </c>
      <c r="B120" s="33">
        <v>43292</v>
      </c>
      <c r="C120" t="s">
        <v>286</v>
      </c>
      <c r="D120">
        <v>61</v>
      </c>
      <c r="E120">
        <v>29</v>
      </c>
      <c r="F120">
        <v>1769</v>
      </c>
    </row>
    <row r="121" spans="1:6">
      <c r="A121" t="s">
        <v>729</v>
      </c>
      <c r="B121" s="33">
        <v>43293</v>
      </c>
      <c r="C121" t="s">
        <v>286</v>
      </c>
      <c r="D121">
        <v>206</v>
      </c>
      <c r="E121">
        <v>85</v>
      </c>
      <c r="F121">
        <v>17510</v>
      </c>
    </row>
    <row r="122" spans="1:6">
      <c r="A122" t="s">
        <v>730</v>
      </c>
      <c r="B122" s="33">
        <v>43293</v>
      </c>
      <c r="C122" t="s">
        <v>282</v>
      </c>
      <c r="D122">
        <v>287</v>
      </c>
      <c r="E122">
        <v>115</v>
      </c>
      <c r="F122">
        <v>33005</v>
      </c>
    </row>
    <row r="123" spans="1:6">
      <c r="A123" t="s">
        <v>731</v>
      </c>
      <c r="B123" s="33">
        <v>43293</v>
      </c>
      <c r="C123" t="s">
        <v>282</v>
      </c>
      <c r="D123">
        <v>237</v>
      </c>
      <c r="E123">
        <v>289</v>
      </c>
      <c r="F123">
        <v>68493</v>
      </c>
    </row>
    <row r="124" spans="1:6">
      <c r="A124" t="s">
        <v>732</v>
      </c>
      <c r="B124" s="33">
        <v>43293</v>
      </c>
      <c r="C124" t="s">
        <v>284</v>
      </c>
      <c r="D124">
        <v>123</v>
      </c>
      <c r="E124">
        <v>23</v>
      </c>
      <c r="F124">
        <v>2829</v>
      </c>
    </row>
    <row r="125" spans="1:6">
      <c r="A125" t="s">
        <v>733</v>
      </c>
      <c r="B125" s="33">
        <v>43293</v>
      </c>
      <c r="C125" t="s">
        <v>288</v>
      </c>
      <c r="D125">
        <v>241</v>
      </c>
      <c r="E125">
        <v>246</v>
      </c>
      <c r="F125">
        <v>59286</v>
      </c>
    </row>
    <row r="126" spans="1:6">
      <c r="A126" t="s">
        <v>734</v>
      </c>
      <c r="B126" s="33">
        <v>43293</v>
      </c>
      <c r="C126" t="s">
        <v>290</v>
      </c>
      <c r="D126">
        <v>19</v>
      </c>
      <c r="E126">
        <v>59</v>
      </c>
      <c r="F126">
        <v>1121</v>
      </c>
    </row>
    <row r="127" spans="1:6">
      <c r="A127" t="s">
        <v>735</v>
      </c>
      <c r="B127" s="33">
        <v>43293</v>
      </c>
      <c r="C127" t="s">
        <v>282</v>
      </c>
      <c r="D127">
        <v>282</v>
      </c>
      <c r="E127">
        <v>229</v>
      </c>
      <c r="F127">
        <v>64578</v>
      </c>
    </row>
    <row r="128" spans="1:6">
      <c r="A128" t="s">
        <v>736</v>
      </c>
      <c r="B128" s="33">
        <v>43294</v>
      </c>
      <c r="C128" t="s">
        <v>284</v>
      </c>
      <c r="D128">
        <v>107</v>
      </c>
      <c r="E128">
        <v>365</v>
      </c>
      <c r="F128">
        <v>39055</v>
      </c>
    </row>
    <row r="129" spans="1:6">
      <c r="A129" t="s">
        <v>737</v>
      </c>
      <c r="B129" s="33">
        <v>43294</v>
      </c>
      <c r="C129" t="s">
        <v>284</v>
      </c>
      <c r="D129">
        <v>25</v>
      </c>
      <c r="E129">
        <v>77</v>
      </c>
      <c r="F129">
        <v>1925</v>
      </c>
    </row>
    <row r="130" spans="1:6">
      <c r="A130" t="s">
        <v>738</v>
      </c>
      <c r="B130" s="33">
        <v>43294</v>
      </c>
      <c r="C130" t="s">
        <v>288</v>
      </c>
      <c r="D130">
        <v>48</v>
      </c>
      <c r="E130">
        <v>35</v>
      </c>
      <c r="F130">
        <v>1680</v>
      </c>
    </row>
    <row r="131" spans="1:6">
      <c r="A131" t="s">
        <v>739</v>
      </c>
      <c r="B131" s="33">
        <v>43294</v>
      </c>
      <c r="C131" t="s">
        <v>286</v>
      </c>
      <c r="D131">
        <v>180</v>
      </c>
      <c r="E131">
        <v>126</v>
      </c>
      <c r="F131">
        <v>22680</v>
      </c>
    </row>
    <row r="132" spans="1:6">
      <c r="A132" t="s">
        <v>740</v>
      </c>
      <c r="B132" s="33">
        <v>43294</v>
      </c>
      <c r="C132" t="s">
        <v>286</v>
      </c>
      <c r="D132">
        <v>11</v>
      </c>
      <c r="E132">
        <v>336</v>
      </c>
      <c r="F132">
        <v>3696</v>
      </c>
    </row>
    <row r="133" spans="1:6">
      <c r="A133" t="s">
        <v>741</v>
      </c>
      <c r="B133" s="33">
        <v>43294</v>
      </c>
      <c r="C133" t="s">
        <v>288</v>
      </c>
      <c r="D133">
        <v>291</v>
      </c>
      <c r="E133">
        <v>284</v>
      </c>
      <c r="F133">
        <v>82644</v>
      </c>
    </row>
    <row r="134" spans="1:6">
      <c r="A134" t="s">
        <v>742</v>
      </c>
      <c r="B134" s="33">
        <v>43294</v>
      </c>
      <c r="C134" t="s">
        <v>286</v>
      </c>
      <c r="D134">
        <v>269</v>
      </c>
      <c r="E134">
        <v>63</v>
      </c>
      <c r="F134">
        <v>16947</v>
      </c>
    </row>
    <row r="135" spans="1:6">
      <c r="A135" t="s">
        <v>743</v>
      </c>
      <c r="B135" s="33">
        <v>43294</v>
      </c>
      <c r="C135" t="s">
        <v>282</v>
      </c>
      <c r="D135">
        <v>93</v>
      </c>
      <c r="E135">
        <v>421</v>
      </c>
      <c r="F135">
        <v>39153</v>
      </c>
    </row>
    <row r="136" spans="1:6">
      <c r="A136" t="s">
        <v>744</v>
      </c>
      <c r="B136" s="33">
        <v>43294</v>
      </c>
      <c r="C136" t="s">
        <v>288</v>
      </c>
      <c r="D136">
        <v>87</v>
      </c>
      <c r="E136">
        <v>61</v>
      </c>
      <c r="F136">
        <v>5307</v>
      </c>
    </row>
    <row r="137" spans="1:6">
      <c r="A137" t="s">
        <v>745</v>
      </c>
      <c r="B137" s="33">
        <v>43294</v>
      </c>
      <c r="C137" t="s">
        <v>288</v>
      </c>
      <c r="D137">
        <v>290</v>
      </c>
      <c r="E137">
        <v>241</v>
      </c>
      <c r="F137">
        <v>69890</v>
      </c>
    </row>
    <row r="138" spans="1:6">
      <c r="A138" t="s">
        <v>746</v>
      </c>
      <c r="B138" s="33">
        <v>43295</v>
      </c>
      <c r="C138" t="s">
        <v>282</v>
      </c>
      <c r="D138">
        <v>31</v>
      </c>
      <c r="E138">
        <v>54</v>
      </c>
      <c r="F138">
        <v>1674</v>
      </c>
    </row>
    <row r="139" spans="1:6">
      <c r="A139" t="s">
        <v>747</v>
      </c>
      <c r="B139" s="33">
        <v>43295</v>
      </c>
      <c r="C139" t="s">
        <v>286</v>
      </c>
      <c r="D139">
        <v>142</v>
      </c>
      <c r="E139">
        <v>41</v>
      </c>
      <c r="F139">
        <v>5822</v>
      </c>
    </row>
    <row r="140" spans="1:6">
      <c r="A140" t="s">
        <v>748</v>
      </c>
      <c r="B140" s="33">
        <v>43295</v>
      </c>
      <c r="C140" t="s">
        <v>284</v>
      </c>
      <c r="D140">
        <v>83</v>
      </c>
      <c r="E140">
        <v>489</v>
      </c>
      <c r="F140">
        <v>40587</v>
      </c>
    </row>
    <row r="141" spans="1:6">
      <c r="A141" t="s">
        <v>749</v>
      </c>
      <c r="B141" s="33">
        <v>43295</v>
      </c>
      <c r="C141" t="s">
        <v>284</v>
      </c>
      <c r="D141">
        <v>228</v>
      </c>
      <c r="E141">
        <v>335</v>
      </c>
      <c r="F141">
        <v>76380</v>
      </c>
    </row>
    <row r="142" spans="1:6">
      <c r="A142" t="s">
        <v>750</v>
      </c>
      <c r="B142" s="33">
        <v>43295</v>
      </c>
      <c r="C142" t="s">
        <v>288</v>
      </c>
      <c r="D142">
        <v>274</v>
      </c>
      <c r="E142">
        <v>340</v>
      </c>
      <c r="F142">
        <v>93160</v>
      </c>
    </row>
    <row r="143" spans="1:6">
      <c r="A143" t="s">
        <v>751</v>
      </c>
      <c r="B143" s="33">
        <v>43295</v>
      </c>
      <c r="C143" t="s">
        <v>282</v>
      </c>
      <c r="D143">
        <v>220</v>
      </c>
      <c r="E143">
        <v>285</v>
      </c>
      <c r="F143">
        <v>62700</v>
      </c>
    </row>
    <row r="144" spans="1:6">
      <c r="A144" t="s">
        <v>752</v>
      </c>
      <c r="B144" s="33">
        <v>43295</v>
      </c>
      <c r="C144" t="s">
        <v>282</v>
      </c>
      <c r="D144">
        <v>65</v>
      </c>
      <c r="E144">
        <v>96</v>
      </c>
      <c r="F144">
        <v>6240</v>
      </c>
    </row>
    <row r="145" spans="1:6">
      <c r="A145" t="s">
        <v>753</v>
      </c>
      <c r="B145" s="33">
        <v>43295</v>
      </c>
      <c r="C145" t="s">
        <v>288</v>
      </c>
      <c r="D145">
        <v>51</v>
      </c>
      <c r="E145">
        <v>202</v>
      </c>
      <c r="F145">
        <v>10302</v>
      </c>
    </row>
    <row r="146" spans="1:6">
      <c r="A146" t="s">
        <v>754</v>
      </c>
      <c r="B146" s="33">
        <v>43295</v>
      </c>
      <c r="C146" t="s">
        <v>290</v>
      </c>
      <c r="D146">
        <v>29</v>
      </c>
      <c r="E146">
        <v>111</v>
      </c>
      <c r="F146">
        <v>3219</v>
      </c>
    </row>
    <row r="147" spans="1:6">
      <c r="A147" t="s">
        <v>755</v>
      </c>
      <c r="B147" s="33">
        <v>43295</v>
      </c>
      <c r="C147" t="s">
        <v>290</v>
      </c>
      <c r="D147">
        <v>284</v>
      </c>
      <c r="E147">
        <v>75</v>
      </c>
      <c r="F147">
        <v>21300</v>
      </c>
    </row>
    <row r="148" spans="1:6">
      <c r="A148" t="s">
        <v>756</v>
      </c>
      <c r="B148" s="33">
        <v>43295</v>
      </c>
      <c r="C148" t="s">
        <v>288</v>
      </c>
      <c r="D148">
        <v>158</v>
      </c>
      <c r="E148">
        <v>198</v>
      </c>
      <c r="F148">
        <v>31284</v>
      </c>
    </row>
    <row r="149" spans="1:6">
      <c r="A149" t="s">
        <v>757</v>
      </c>
      <c r="B149" s="33">
        <v>43296</v>
      </c>
      <c r="C149" t="s">
        <v>288</v>
      </c>
      <c r="D149">
        <v>135</v>
      </c>
      <c r="E149">
        <v>33</v>
      </c>
      <c r="F149">
        <v>4455</v>
      </c>
    </row>
    <row r="150" spans="1:6">
      <c r="A150" t="s">
        <v>758</v>
      </c>
      <c r="B150" s="33">
        <v>43296</v>
      </c>
      <c r="C150" t="s">
        <v>286</v>
      </c>
      <c r="D150">
        <v>229</v>
      </c>
      <c r="E150">
        <v>218</v>
      </c>
      <c r="F150">
        <v>49922</v>
      </c>
    </row>
    <row r="151" spans="1:6">
      <c r="A151" t="s">
        <v>759</v>
      </c>
      <c r="B151" s="33">
        <v>43296</v>
      </c>
      <c r="C151" t="s">
        <v>288</v>
      </c>
      <c r="D151">
        <v>65</v>
      </c>
      <c r="E151">
        <v>434</v>
      </c>
      <c r="F151">
        <v>28210</v>
      </c>
    </row>
    <row r="152" spans="1:6">
      <c r="A152" t="s">
        <v>760</v>
      </c>
      <c r="B152" s="33">
        <v>43296</v>
      </c>
      <c r="C152" t="s">
        <v>284</v>
      </c>
      <c r="D152">
        <v>130</v>
      </c>
      <c r="E152">
        <v>235</v>
      </c>
      <c r="F152">
        <v>30550</v>
      </c>
    </row>
    <row r="153" spans="1:6">
      <c r="A153" t="s">
        <v>761</v>
      </c>
      <c r="B153" s="33">
        <v>43296</v>
      </c>
      <c r="C153" t="s">
        <v>290</v>
      </c>
      <c r="D153">
        <v>100</v>
      </c>
      <c r="E153">
        <v>83</v>
      </c>
      <c r="F153">
        <v>8300</v>
      </c>
    </row>
    <row r="154" spans="1:6">
      <c r="A154" t="s">
        <v>762</v>
      </c>
      <c r="B154" s="33">
        <v>43296</v>
      </c>
      <c r="C154" t="s">
        <v>284</v>
      </c>
      <c r="D154">
        <v>172</v>
      </c>
      <c r="E154">
        <v>59</v>
      </c>
      <c r="F154">
        <v>10148</v>
      </c>
    </row>
    <row r="155" spans="1:6">
      <c r="A155" t="s">
        <v>763</v>
      </c>
      <c r="B155" s="33">
        <v>43296</v>
      </c>
      <c r="C155" t="s">
        <v>290</v>
      </c>
      <c r="D155">
        <v>60</v>
      </c>
      <c r="E155">
        <v>89</v>
      </c>
      <c r="F155">
        <v>5340</v>
      </c>
    </row>
    <row r="156" spans="1:6">
      <c r="A156" t="s">
        <v>764</v>
      </c>
      <c r="B156" s="33">
        <v>43296</v>
      </c>
      <c r="C156" t="s">
        <v>288</v>
      </c>
      <c r="D156">
        <v>174</v>
      </c>
      <c r="E156">
        <v>361</v>
      </c>
      <c r="F156">
        <v>62814</v>
      </c>
    </row>
    <row r="157" spans="1:6">
      <c r="A157" t="s">
        <v>765</v>
      </c>
      <c r="B157" s="33">
        <v>43296</v>
      </c>
      <c r="C157" t="s">
        <v>282</v>
      </c>
      <c r="D157">
        <v>40</v>
      </c>
      <c r="E157">
        <v>367</v>
      </c>
      <c r="F157">
        <v>14680</v>
      </c>
    </row>
    <row r="158" spans="1:6">
      <c r="A158" t="s">
        <v>766</v>
      </c>
      <c r="B158" s="33">
        <v>43296</v>
      </c>
      <c r="C158" t="s">
        <v>286</v>
      </c>
      <c r="D158">
        <v>86</v>
      </c>
      <c r="E158">
        <v>473</v>
      </c>
      <c r="F158">
        <v>40678</v>
      </c>
    </row>
    <row r="159" spans="1:6">
      <c r="A159" t="s">
        <v>767</v>
      </c>
      <c r="B159" s="33">
        <v>43296</v>
      </c>
      <c r="C159" t="s">
        <v>288</v>
      </c>
      <c r="D159">
        <v>300</v>
      </c>
      <c r="E159">
        <v>151</v>
      </c>
      <c r="F159">
        <v>45300</v>
      </c>
    </row>
    <row r="160" spans="1:6">
      <c r="A160" t="s">
        <v>768</v>
      </c>
      <c r="B160" s="33">
        <v>43296</v>
      </c>
      <c r="C160" t="s">
        <v>288</v>
      </c>
      <c r="D160">
        <v>268</v>
      </c>
      <c r="E160">
        <v>214</v>
      </c>
      <c r="F160">
        <v>57352</v>
      </c>
    </row>
    <row r="161" spans="1:6">
      <c r="A161" t="s">
        <v>769</v>
      </c>
      <c r="B161" s="33">
        <v>43296</v>
      </c>
      <c r="C161" t="s">
        <v>290</v>
      </c>
      <c r="D161">
        <v>133</v>
      </c>
      <c r="E161">
        <v>353</v>
      </c>
      <c r="F161">
        <v>46949</v>
      </c>
    </row>
    <row r="162" spans="1:6">
      <c r="A162" t="s">
        <v>770</v>
      </c>
      <c r="B162" s="33">
        <v>43296</v>
      </c>
      <c r="C162" t="s">
        <v>286</v>
      </c>
      <c r="D162">
        <v>10</v>
      </c>
      <c r="E162">
        <v>384</v>
      </c>
      <c r="F162">
        <v>3840</v>
      </c>
    </row>
    <row r="163" spans="1:6">
      <c r="A163" t="s">
        <v>771</v>
      </c>
      <c r="B163" s="33">
        <v>43296</v>
      </c>
      <c r="C163" t="s">
        <v>282</v>
      </c>
      <c r="D163">
        <v>196</v>
      </c>
      <c r="E163">
        <v>379</v>
      </c>
      <c r="F163">
        <v>74284</v>
      </c>
    </row>
    <row r="164" spans="1:6">
      <c r="A164" t="s">
        <v>772</v>
      </c>
      <c r="B164" s="33">
        <v>43297</v>
      </c>
      <c r="C164" t="s">
        <v>290</v>
      </c>
      <c r="D164">
        <v>291</v>
      </c>
      <c r="E164">
        <v>69</v>
      </c>
      <c r="F164">
        <v>20079</v>
      </c>
    </row>
    <row r="165" spans="1:6">
      <c r="A165" t="s">
        <v>773</v>
      </c>
      <c r="B165" s="33">
        <v>43297</v>
      </c>
      <c r="C165" t="s">
        <v>290</v>
      </c>
      <c r="D165">
        <v>163</v>
      </c>
      <c r="E165">
        <v>141</v>
      </c>
      <c r="F165">
        <v>22983</v>
      </c>
    </row>
    <row r="166" spans="1:6">
      <c r="A166" t="s">
        <v>774</v>
      </c>
      <c r="B166" s="33">
        <v>43297</v>
      </c>
      <c r="C166" t="s">
        <v>288</v>
      </c>
      <c r="D166">
        <v>50</v>
      </c>
      <c r="E166">
        <v>12</v>
      </c>
      <c r="F166">
        <v>600</v>
      </c>
    </row>
    <row r="167" spans="1:6">
      <c r="A167" t="s">
        <v>775</v>
      </c>
      <c r="B167" s="33">
        <v>43297</v>
      </c>
      <c r="C167" t="s">
        <v>286</v>
      </c>
      <c r="D167">
        <v>294</v>
      </c>
      <c r="E167">
        <v>487</v>
      </c>
      <c r="F167">
        <v>143178</v>
      </c>
    </row>
    <row r="168" spans="1:6">
      <c r="A168" t="s">
        <v>776</v>
      </c>
      <c r="B168" s="33">
        <v>43297</v>
      </c>
      <c r="C168" t="s">
        <v>286</v>
      </c>
      <c r="D168">
        <v>42</v>
      </c>
      <c r="E168">
        <v>374</v>
      </c>
      <c r="F168">
        <v>15708</v>
      </c>
    </row>
    <row r="169" spans="1:6">
      <c r="A169" t="s">
        <v>777</v>
      </c>
      <c r="B169" s="33">
        <v>43297</v>
      </c>
      <c r="C169" t="s">
        <v>286</v>
      </c>
      <c r="D169">
        <v>203</v>
      </c>
      <c r="E169">
        <v>293</v>
      </c>
      <c r="F169">
        <v>59479</v>
      </c>
    </row>
    <row r="170" spans="1:6">
      <c r="A170" t="s">
        <v>778</v>
      </c>
      <c r="B170" s="33">
        <v>43297</v>
      </c>
      <c r="C170" t="s">
        <v>284</v>
      </c>
      <c r="D170">
        <v>223</v>
      </c>
      <c r="E170">
        <v>457</v>
      </c>
      <c r="F170">
        <v>101911</v>
      </c>
    </row>
    <row r="171" spans="1:6">
      <c r="A171" t="s">
        <v>779</v>
      </c>
      <c r="B171" s="33">
        <v>43297</v>
      </c>
      <c r="C171" t="s">
        <v>286</v>
      </c>
      <c r="D171">
        <v>283</v>
      </c>
      <c r="E171">
        <v>340</v>
      </c>
      <c r="F171">
        <v>96220</v>
      </c>
    </row>
    <row r="172" spans="1:6">
      <c r="A172" t="s">
        <v>780</v>
      </c>
      <c r="B172" s="33">
        <v>43297</v>
      </c>
      <c r="C172" t="s">
        <v>288</v>
      </c>
      <c r="D172">
        <v>11</v>
      </c>
      <c r="E172">
        <v>406</v>
      </c>
      <c r="F172">
        <v>4466</v>
      </c>
    </row>
    <row r="173" spans="1:6">
      <c r="A173" t="s">
        <v>781</v>
      </c>
      <c r="B173" s="33">
        <v>43297</v>
      </c>
      <c r="C173" t="s">
        <v>288</v>
      </c>
      <c r="D173">
        <v>175</v>
      </c>
      <c r="E173">
        <v>249</v>
      </c>
      <c r="F173">
        <v>43575</v>
      </c>
    </row>
    <row r="174" spans="1:6">
      <c r="A174" t="s">
        <v>782</v>
      </c>
      <c r="B174" s="33">
        <v>43297</v>
      </c>
      <c r="C174" t="s">
        <v>288</v>
      </c>
      <c r="D174">
        <v>260</v>
      </c>
      <c r="E174">
        <v>423</v>
      </c>
      <c r="F174">
        <v>109980</v>
      </c>
    </row>
    <row r="175" spans="1:6">
      <c r="A175" t="s">
        <v>783</v>
      </c>
      <c r="B175" s="33">
        <v>43298</v>
      </c>
      <c r="C175" t="s">
        <v>284</v>
      </c>
      <c r="D175">
        <v>105</v>
      </c>
      <c r="E175">
        <v>30</v>
      </c>
      <c r="F175">
        <v>3150</v>
      </c>
    </row>
    <row r="176" spans="1:6">
      <c r="A176" t="s">
        <v>784</v>
      </c>
      <c r="B176" s="33">
        <v>43298</v>
      </c>
      <c r="C176" t="s">
        <v>282</v>
      </c>
      <c r="D176">
        <v>245</v>
      </c>
      <c r="E176">
        <v>29</v>
      </c>
      <c r="F176">
        <v>7105</v>
      </c>
    </row>
    <row r="177" spans="1:6">
      <c r="A177" t="s">
        <v>785</v>
      </c>
      <c r="B177" s="33">
        <v>43298</v>
      </c>
      <c r="C177" t="s">
        <v>290</v>
      </c>
      <c r="D177">
        <v>263</v>
      </c>
      <c r="E177">
        <v>83</v>
      </c>
      <c r="F177">
        <v>21829</v>
      </c>
    </row>
    <row r="178" spans="1:6">
      <c r="A178" t="s">
        <v>786</v>
      </c>
      <c r="B178" s="33">
        <v>43298</v>
      </c>
      <c r="C178" t="s">
        <v>290</v>
      </c>
      <c r="D178">
        <v>165</v>
      </c>
      <c r="E178">
        <v>278</v>
      </c>
      <c r="F178">
        <v>45870</v>
      </c>
    </row>
    <row r="179" spans="1:6">
      <c r="A179" t="s">
        <v>787</v>
      </c>
      <c r="B179" s="33">
        <v>43298</v>
      </c>
      <c r="C179" t="s">
        <v>288</v>
      </c>
      <c r="D179">
        <v>32</v>
      </c>
      <c r="E179">
        <v>336</v>
      </c>
      <c r="F179">
        <v>10752</v>
      </c>
    </row>
    <row r="180" spans="1:6">
      <c r="A180" t="s">
        <v>788</v>
      </c>
      <c r="B180" s="33">
        <v>43298</v>
      </c>
      <c r="C180" t="s">
        <v>290</v>
      </c>
      <c r="D180">
        <v>284</v>
      </c>
      <c r="E180">
        <v>466</v>
      </c>
      <c r="F180">
        <v>132344</v>
      </c>
    </row>
    <row r="181" spans="1:6">
      <c r="A181" t="s">
        <v>789</v>
      </c>
      <c r="B181" s="33">
        <v>43298</v>
      </c>
      <c r="C181" t="s">
        <v>282</v>
      </c>
      <c r="D181">
        <v>28</v>
      </c>
      <c r="E181">
        <v>339</v>
      </c>
      <c r="F181">
        <v>9492</v>
      </c>
    </row>
    <row r="182" spans="1:6">
      <c r="A182" t="s">
        <v>790</v>
      </c>
      <c r="B182" s="33">
        <v>43298</v>
      </c>
      <c r="C182" t="s">
        <v>282</v>
      </c>
      <c r="D182">
        <v>158</v>
      </c>
      <c r="E182">
        <v>437</v>
      </c>
      <c r="F182">
        <v>69046</v>
      </c>
    </row>
    <row r="183" spans="1:6">
      <c r="A183" t="s">
        <v>791</v>
      </c>
      <c r="B183" s="33">
        <v>43298</v>
      </c>
      <c r="C183" t="s">
        <v>282</v>
      </c>
      <c r="D183">
        <v>228</v>
      </c>
      <c r="E183">
        <v>162</v>
      </c>
      <c r="F183">
        <v>36936</v>
      </c>
    </row>
    <row r="184" spans="1:6">
      <c r="A184" t="s">
        <v>792</v>
      </c>
      <c r="B184" s="33">
        <v>43298</v>
      </c>
      <c r="C184" t="s">
        <v>284</v>
      </c>
      <c r="D184">
        <v>55</v>
      </c>
      <c r="E184">
        <v>5</v>
      </c>
      <c r="F184">
        <v>275</v>
      </c>
    </row>
    <row r="185" spans="1:6">
      <c r="A185" t="s">
        <v>793</v>
      </c>
      <c r="B185" s="33">
        <v>43298</v>
      </c>
      <c r="C185" t="s">
        <v>286</v>
      </c>
      <c r="D185">
        <v>228</v>
      </c>
      <c r="E185">
        <v>353</v>
      </c>
      <c r="F185">
        <v>80484</v>
      </c>
    </row>
    <row r="186" spans="1:6">
      <c r="A186" t="s">
        <v>794</v>
      </c>
      <c r="B186" s="33">
        <v>43298</v>
      </c>
      <c r="C186" t="s">
        <v>282</v>
      </c>
      <c r="D186">
        <v>208</v>
      </c>
      <c r="E186">
        <v>4</v>
      </c>
      <c r="F186">
        <v>832</v>
      </c>
    </row>
    <row r="187" spans="1:6">
      <c r="A187" t="s">
        <v>795</v>
      </c>
      <c r="B187" s="33">
        <v>43298</v>
      </c>
      <c r="C187" t="s">
        <v>288</v>
      </c>
      <c r="D187">
        <v>122</v>
      </c>
      <c r="E187">
        <v>129</v>
      </c>
      <c r="F187">
        <v>15738</v>
      </c>
    </row>
    <row r="188" spans="1:6">
      <c r="A188" t="s">
        <v>796</v>
      </c>
      <c r="B188" s="33">
        <v>43299</v>
      </c>
      <c r="C188" t="s">
        <v>284</v>
      </c>
      <c r="D188">
        <v>181</v>
      </c>
      <c r="E188">
        <v>126</v>
      </c>
      <c r="F188">
        <v>22806</v>
      </c>
    </row>
    <row r="189" spans="1:6">
      <c r="A189" t="s">
        <v>797</v>
      </c>
      <c r="B189" s="33">
        <v>43299</v>
      </c>
      <c r="C189" t="s">
        <v>282</v>
      </c>
      <c r="D189">
        <v>38</v>
      </c>
      <c r="E189">
        <v>58</v>
      </c>
      <c r="F189">
        <v>2204</v>
      </c>
    </row>
    <row r="190" spans="1:6">
      <c r="A190" t="s">
        <v>798</v>
      </c>
      <c r="B190" s="33">
        <v>43299</v>
      </c>
      <c r="C190" t="s">
        <v>288</v>
      </c>
      <c r="D190">
        <v>136</v>
      </c>
      <c r="E190">
        <v>498</v>
      </c>
      <c r="F190">
        <v>67728</v>
      </c>
    </row>
    <row r="191" spans="1:6">
      <c r="A191" t="s">
        <v>799</v>
      </c>
      <c r="B191" s="33">
        <v>43299</v>
      </c>
      <c r="C191" t="s">
        <v>286</v>
      </c>
      <c r="D191">
        <v>137</v>
      </c>
      <c r="E191">
        <v>277</v>
      </c>
      <c r="F191">
        <v>37949</v>
      </c>
    </row>
    <row r="192" spans="1:6">
      <c r="A192" t="s">
        <v>800</v>
      </c>
      <c r="B192" s="33">
        <v>43299</v>
      </c>
      <c r="C192" t="s">
        <v>290</v>
      </c>
      <c r="D192">
        <v>292</v>
      </c>
      <c r="E192">
        <v>58</v>
      </c>
      <c r="F192">
        <v>16936</v>
      </c>
    </row>
    <row r="193" spans="1:6">
      <c r="A193" t="s">
        <v>801</v>
      </c>
      <c r="B193" s="33">
        <v>43299</v>
      </c>
      <c r="C193" t="s">
        <v>284</v>
      </c>
      <c r="D193">
        <v>41</v>
      </c>
      <c r="E193">
        <v>57</v>
      </c>
      <c r="F193">
        <v>2337</v>
      </c>
    </row>
    <row r="194" spans="1:6">
      <c r="A194" t="s">
        <v>802</v>
      </c>
      <c r="B194" s="33">
        <v>43299</v>
      </c>
      <c r="C194" t="s">
        <v>290</v>
      </c>
      <c r="D194">
        <v>45</v>
      </c>
      <c r="E194">
        <v>269</v>
      </c>
      <c r="F194">
        <v>12105</v>
      </c>
    </row>
    <row r="195" spans="1:6">
      <c r="A195" t="s">
        <v>803</v>
      </c>
      <c r="B195" s="33">
        <v>43299</v>
      </c>
      <c r="C195" t="s">
        <v>284</v>
      </c>
      <c r="D195">
        <v>37</v>
      </c>
      <c r="E195">
        <v>292</v>
      </c>
      <c r="F195">
        <v>10804</v>
      </c>
    </row>
    <row r="196" spans="1:6">
      <c r="A196" t="s">
        <v>804</v>
      </c>
      <c r="B196" s="33">
        <v>43299</v>
      </c>
      <c r="C196" t="s">
        <v>286</v>
      </c>
      <c r="D196">
        <v>226</v>
      </c>
      <c r="E196">
        <v>46</v>
      </c>
      <c r="F196">
        <v>10396</v>
      </c>
    </row>
    <row r="197" spans="1:6">
      <c r="A197" t="s">
        <v>805</v>
      </c>
      <c r="B197" s="33">
        <v>43299</v>
      </c>
      <c r="C197" t="s">
        <v>290</v>
      </c>
      <c r="D197">
        <v>11</v>
      </c>
      <c r="E197">
        <v>66</v>
      </c>
      <c r="F197">
        <v>726</v>
      </c>
    </row>
    <row r="198" spans="1:6">
      <c r="A198" t="s">
        <v>806</v>
      </c>
      <c r="B198" s="33">
        <v>43300</v>
      </c>
      <c r="C198" t="s">
        <v>282</v>
      </c>
      <c r="D198">
        <v>238</v>
      </c>
      <c r="E198">
        <v>54</v>
      </c>
      <c r="F198">
        <v>12852</v>
      </c>
    </row>
    <row r="199" spans="1:6">
      <c r="A199" t="s">
        <v>807</v>
      </c>
      <c r="B199" s="33">
        <v>43300</v>
      </c>
      <c r="C199" t="s">
        <v>286</v>
      </c>
      <c r="D199">
        <v>180</v>
      </c>
      <c r="E199">
        <v>94</v>
      </c>
      <c r="F199">
        <v>16920</v>
      </c>
    </row>
    <row r="200" spans="1:6">
      <c r="A200" t="s">
        <v>808</v>
      </c>
      <c r="B200" s="33">
        <v>43300</v>
      </c>
      <c r="C200" t="s">
        <v>290</v>
      </c>
      <c r="D200">
        <v>99</v>
      </c>
      <c r="E200">
        <v>69</v>
      </c>
      <c r="F200">
        <v>6831</v>
      </c>
    </row>
    <row r="201" spans="1:6">
      <c r="A201" t="s">
        <v>809</v>
      </c>
      <c r="B201" s="33">
        <v>43300</v>
      </c>
      <c r="C201" t="s">
        <v>284</v>
      </c>
      <c r="D201">
        <v>96</v>
      </c>
      <c r="E201">
        <v>227</v>
      </c>
      <c r="F201">
        <v>21792</v>
      </c>
    </row>
    <row r="202" spans="1:6">
      <c r="A202" t="s">
        <v>810</v>
      </c>
      <c r="B202" s="33">
        <v>43300</v>
      </c>
      <c r="C202" t="s">
        <v>288</v>
      </c>
      <c r="D202">
        <v>160</v>
      </c>
      <c r="E202">
        <v>477</v>
      </c>
      <c r="F202">
        <v>76320</v>
      </c>
    </row>
    <row r="203" spans="1:6">
      <c r="A203" t="s">
        <v>811</v>
      </c>
      <c r="B203" s="33">
        <v>43300</v>
      </c>
      <c r="C203" t="s">
        <v>282</v>
      </c>
      <c r="D203">
        <v>187</v>
      </c>
      <c r="E203">
        <v>142</v>
      </c>
      <c r="F203">
        <v>26554</v>
      </c>
    </row>
    <row r="204" spans="1:6">
      <c r="A204" t="s">
        <v>812</v>
      </c>
      <c r="B204" s="33">
        <v>43300</v>
      </c>
      <c r="C204" t="s">
        <v>290</v>
      </c>
      <c r="D204">
        <v>117</v>
      </c>
      <c r="E204">
        <v>42</v>
      </c>
      <c r="F204">
        <v>4914</v>
      </c>
    </row>
    <row r="205" spans="1:6">
      <c r="A205" t="s">
        <v>813</v>
      </c>
      <c r="B205" s="33">
        <v>43301</v>
      </c>
      <c r="C205" t="s">
        <v>290</v>
      </c>
      <c r="D205">
        <v>70</v>
      </c>
      <c r="E205">
        <v>42</v>
      </c>
      <c r="F205">
        <v>2940</v>
      </c>
    </row>
    <row r="206" spans="1:6">
      <c r="A206" t="s">
        <v>814</v>
      </c>
      <c r="B206" s="33">
        <v>43301</v>
      </c>
      <c r="C206" t="s">
        <v>286</v>
      </c>
      <c r="D206">
        <v>262</v>
      </c>
      <c r="E206">
        <v>174</v>
      </c>
      <c r="F206">
        <v>45588</v>
      </c>
    </row>
    <row r="207" spans="1:6">
      <c r="A207" t="s">
        <v>815</v>
      </c>
      <c r="B207" s="33">
        <v>43301</v>
      </c>
      <c r="C207" t="s">
        <v>288</v>
      </c>
      <c r="D207">
        <v>17</v>
      </c>
      <c r="E207">
        <v>386</v>
      </c>
      <c r="F207">
        <v>6562</v>
      </c>
    </row>
    <row r="208" spans="1:6">
      <c r="A208" t="s">
        <v>816</v>
      </c>
      <c r="B208" s="33">
        <v>43301</v>
      </c>
      <c r="C208" t="s">
        <v>286</v>
      </c>
      <c r="D208">
        <v>57</v>
      </c>
      <c r="E208">
        <v>362</v>
      </c>
      <c r="F208">
        <v>20634</v>
      </c>
    </row>
    <row r="209" spans="1:6">
      <c r="A209" t="s">
        <v>817</v>
      </c>
      <c r="B209" s="33">
        <v>43301</v>
      </c>
      <c r="C209" t="s">
        <v>290</v>
      </c>
      <c r="D209">
        <v>223</v>
      </c>
      <c r="E209">
        <v>318</v>
      </c>
      <c r="F209">
        <v>70914</v>
      </c>
    </row>
    <row r="210" spans="1:6">
      <c r="A210" t="s">
        <v>818</v>
      </c>
      <c r="B210" s="33">
        <v>43301</v>
      </c>
      <c r="C210" t="s">
        <v>290</v>
      </c>
      <c r="D210">
        <v>249</v>
      </c>
      <c r="E210">
        <v>335</v>
      </c>
      <c r="F210">
        <v>83415</v>
      </c>
    </row>
    <row r="211" spans="1:6">
      <c r="A211" t="s">
        <v>819</v>
      </c>
      <c r="B211" s="33">
        <v>43301</v>
      </c>
      <c r="C211" t="s">
        <v>288</v>
      </c>
      <c r="D211">
        <v>242</v>
      </c>
      <c r="E211">
        <v>243</v>
      </c>
      <c r="F211">
        <v>58806</v>
      </c>
    </row>
    <row r="212" spans="1:6">
      <c r="A212" t="s">
        <v>820</v>
      </c>
      <c r="B212" s="33">
        <v>43302</v>
      </c>
      <c r="C212" t="s">
        <v>286</v>
      </c>
      <c r="D212">
        <v>34</v>
      </c>
      <c r="E212">
        <v>164</v>
      </c>
      <c r="F212">
        <v>5576</v>
      </c>
    </row>
    <row r="213" spans="1:6">
      <c r="A213" t="s">
        <v>821</v>
      </c>
      <c r="B213" s="33">
        <v>43302</v>
      </c>
      <c r="C213" t="s">
        <v>288</v>
      </c>
      <c r="D213">
        <v>177</v>
      </c>
      <c r="E213">
        <v>221</v>
      </c>
      <c r="F213">
        <v>39117</v>
      </c>
    </row>
    <row r="214" spans="1:6">
      <c r="A214" t="s">
        <v>822</v>
      </c>
      <c r="B214" s="33">
        <v>43302</v>
      </c>
      <c r="C214" t="s">
        <v>286</v>
      </c>
      <c r="D214">
        <v>206</v>
      </c>
      <c r="E214">
        <v>16</v>
      </c>
      <c r="F214">
        <v>3296</v>
      </c>
    </row>
    <row r="215" spans="1:6">
      <c r="A215" t="s">
        <v>823</v>
      </c>
      <c r="B215" s="33">
        <v>43302</v>
      </c>
      <c r="C215" t="s">
        <v>290</v>
      </c>
      <c r="D215">
        <v>261</v>
      </c>
      <c r="E215">
        <v>178</v>
      </c>
      <c r="F215">
        <v>46458</v>
      </c>
    </row>
    <row r="216" spans="1:6">
      <c r="A216" t="s">
        <v>824</v>
      </c>
      <c r="B216" s="33">
        <v>43302</v>
      </c>
      <c r="C216" t="s">
        <v>288</v>
      </c>
      <c r="D216">
        <v>296</v>
      </c>
      <c r="E216">
        <v>242</v>
      </c>
      <c r="F216">
        <v>71632</v>
      </c>
    </row>
    <row r="217" spans="1:6">
      <c r="A217" t="s">
        <v>825</v>
      </c>
      <c r="B217" s="33">
        <v>43302</v>
      </c>
      <c r="C217" t="s">
        <v>286</v>
      </c>
      <c r="D217">
        <v>116</v>
      </c>
      <c r="E217">
        <v>224</v>
      </c>
      <c r="F217">
        <v>25984</v>
      </c>
    </row>
    <row r="218" spans="1:6">
      <c r="A218" t="s">
        <v>826</v>
      </c>
      <c r="B218" s="33">
        <v>43302</v>
      </c>
      <c r="C218" t="s">
        <v>284</v>
      </c>
      <c r="D218">
        <v>205</v>
      </c>
      <c r="E218">
        <v>203</v>
      </c>
      <c r="F218">
        <v>41615</v>
      </c>
    </row>
    <row r="219" spans="1:6">
      <c r="A219" t="s">
        <v>827</v>
      </c>
      <c r="B219" s="33">
        <v>43302</v>
      </c>
      <c r="C219" t="s">
        <v>288</v>
      </c>
      <c r="D219">
        <v>179</v>
      </c>
      <c r="E219">
        <v>151</v>
      </c>
      <c r="F219">
        <v>27029</v>
      </c>
    </row>
    <row r="220" spans="1:6">
      <c r="A220" t="s">
        <v>828</v>
      </c>
      <c r="B220" s="33">
        <v>43302</v>
      </c>
      <c r="C220" t="s">
        <v>282</v>
      </c>
      <c r="D220">
        <v>55</v>
      </c>
      <c r="E220">
        <v>313</v>
      </c>
      <c r="F220">
        <v>17215</v>
      </c>
    </row>
    <row r="221" spans="1:6">
      <c r="A221" t="s">
        <v>829</v>
      </c>
      <c r="B221" s="33">
        <v>43302</v>
      </c>
      <c r="C221" t="s">
        <v>284</v>
      </c>
      <c r="D221">
        <v>101</v>
      </c>
      <c r="E221">
        <v>346</v>
      </c>
      <c r="F221">
        <v>34946</v>
      </c>
    </row>
    <row r="222" spans="1:6">
      <c r="A222" t="s">
        <v>830</v>
      </c>
      <c r="B222" s="33">
        <v>43302</v>
      </c>
      <c r="C222" t="s">
        <v>282</v>
      </c>
      <c r="D222">
        <v>209</v>
      </c>
      <c r="E222">
        <v>74</v>
      </c>
      <c r="F222">
        <v>15466</v>
      </c>
    </row>
    <row r="223" spans="1:6">
      <c r="A223" t="s">
        <v>831</v>
      </c>
      <c r="B223" s="33">
        <v>43302</v>
      </c>
      <c r="C223" t="s">
        <v>286</v>
      </c>
      <c r="D223">
        <v>276</v>
      </c>
      <c r="E223">
        <v>352</v>
      </c>
      <c r="F223">
        <v>97152</v>
      </c>
    </row>
    <row r="224" spans="1:6">
      <c r="A224" t="s">
        <v>832</v>
      </c>
      <c r="B224" s="33">
        <v>43302</v>
      </c>
      <c r="C224" t="s">
        <v>284</v>
      </c>
      <c r="D224">
        <v>146</v>
      </c>
      <c r="E224">
        <v>166</v>
      </c>
      <c r="F224">
        <v>24236</v>
      </c>
    </row>
    <row r="225" spans="1:6">
      <c r="A225" t="s">
        <v>833</v>
      </c>
      <c r="B225" s="33">
        <v>43303</v>
      </c>
      <c r="C225" t="s">
        <v>284</v>
      </c>
      <c r="D225">
        <v>15</v>
      </c>
      <c r="E225">
        <v>493</v>
      </c>
      <c r="F225">
        <v>7395</v>
      </c>
    </row>
    <row r="226" spans="1:6">
      <c r="A226" t="s">
        <v>834</v>
      </c>
      <c r="B226" s="33">
        <v>43303</v>
      </c>
      <c r="C226" t="s">
        <v>290</v>
      </c>
      <c r="D226">
        <v>256</v>
      </c>
      <c r="E226">
        <v>320</v>
      </c>
      <c r="F226">
        <v>81920</v>
      </c>
    </row>
    <row r="227" spans="1:6">
      <c r="A227" t="s">
        <v>835</v>
      </c>
      <c r="B227" s="33">
        <v>43303</v>
      </c>
      <c r="C227" t="s">
        <v>282</v>
      </c>
      <c r="D227">
        <v>150</v>
      </c>
      <c r="E227">
        <v>60</v>
      </c>
      <c r="F227">
        <v>9000</v>
      </c>
    </row>
    <row r="228" spans="1:6">
      <c r="A228" t="s">
        <v>836</v>
      </c>
      <c r="B228" s="33">
        <v>43303</v>
      </c>
      <c r="C228" t="s">
        <v>288</v>
      </c>
      <c r="D228">
        <v>57</v>
      </c>
      <c r="E228">
        <v>159</v>
      </c>
      <c r="F228">
        <v>9063</v>
      </c>
    </row>
    <row r="229" spans="1:6">
      <c r="A229" t="s">
        <v>837</v>
      </c>
      <c r="B229" s="33">
        <v>43303</v>
      </c>
      <c r="C229" t="s">
        <v>290</v>
      </c>
      <c r="D229">
        <v>162</v>
      </c>
      <c r="E229">
        <v>401</v>
      </c>
      <c r="F229">
        <v>64962</v>
      </c>
    </row>
    <row r="230" spans="1:6">
      <c r="A230" t="s">
        <v>838</v>
      </c>
      <c r="B230" s="33">
        <v>43303</v>
      </c>
      <c r="C230" t="s">
        <v>286</v>
      </c>
      <c r="D230">
        <v>49</v>
      </c>
      <c r="E230">
        <v>356</v>
      </c>
      <c r="F230">
        <v>17444</v>
      </c>
    </row>
    <row r="231" spans="1:6">
      <c r="A231" t="s">
        <v>839</v>
      </c>
      <c r="B231" s="33">
        <v>43303</v>
      </c>
      <c r="C231" t="s">
        <v>284</v>
      </c>
      <c r="D231">
        <v>26</v>
      </c>
      <c r="E231">
        <v>380</v>
      </c>
      <c r="F231">
        <v>9880</v>
      </c>
    </row>
    <row r="232" spans="1:6">
      <c r="A232" t="s">
        <v>840</v>
      </c>
      <c r="B232" s="33">
        <v>43303</v>
      </c>
      <c r="C232" t="s">
        <v>290</v>
      </c>
      <c r="D232">
        <v>43</v>
      </c>
      <c r="E232">
        <v>58</v>
      </c>
      <c r="F232">
        <v>2494</v>
      </c>
    </row>
    <row r="233" spans="1:6">
      <c r="A233" t="s">
        <v>841</v>
      </c>
      <c r="B233" s="33">
        <v>43303</v>
      </c>
      <c r="C233" t="s">
        <v>286</v>
      </c>
      <c r="D233">
        <v>252</v>
      </c>
      <c r="E233">
        <v>99</v>
      </c>
      <c r="F233">
        <v>24948</v>
      </c>
    </row>
    <row r="234" spans="1:6">
      <c r="A234" t="s">
        <v>842</v>
      </c>
      <c r="B234" s="33">
        <v>43303</v>
      </c>
      <c r="C234" t="s">
        <v>286</v>
      </c>
      <c r="D234">
        <v>128</v>
      </c>
      <c r="E234">
        <v>368</v>
      </c>
      <c r="F234">
        <v>47104</v>
      </c>
    </row>
    <row r="235" spans="1:6">
      <c r="A235" t="s">
        <v>843</v>
      </c>
      <c r="B235" s="33">
        <v>43303</v>
      </c>
      <c r="C235" t="s">
        <v>286</v>
      </c>
      <c r="D235">
        <v>285</v>
      </c>
      <c r="E235">
        <v>127</v>
      </c>
      <c r="F235">
        <v>36195</v>
      </c>
    </row>
    <row r="236" spans="1:6">
      <c r="A236" t="s">
        <v>844</v>
      </c>
      <c r="B236" s="33">
        <v>43303</v>
      </c>
      <c r="C236" t="s">
        <v>282</v>
      </c>
      <c r="D236">
        <v>50</v>
      </c>
      <c r="E236">
        <v>368</v>
      </c>
      <c r="F236">
        <v>18400</v>
      </c>
    </row>
    <row r="237" spans="1:6">
      <c r="A237" t="s">
        <v>845</v>
      </c>
      <c r="B237" s="33">
        <v>43303</v>
      </c>
      <c r="C237" t="s">
        <v>288</v>
      </c>
      <c r="D237">
        <v>101</v>
      </c>
      <c r="E237">
        <v>363</v>
      </c>
      <c r="F237">
        <v>36663</v>
      </c>
    </row>
    <row r="238" spans="1:6">
      <c r="A238" t="s">
        <v>846</v>
      </c>
      <c r="B238" s="33">
        <v>43303</v>
      </c>
      <c r="C238" t="s">
        <v>286</v>
      </c>
      <c r="D238">
        <v>298</v>
      </c>
      <c r="E238">
        <v>145</v>
      </c>
      <c r="F238">
        <v>43210</v>
      </c>
    </row>
    <row r="239" spans="1:6">
      <c r="A239" t="s">
        <v>847</v>
      </c>
      <c r="B239" s="33">
        <v>43304</v>
      </c>
      <c r="C239" t="s">
        <v>290</v>
      </c>
      <c r="D239">
        <v>96</v>
      </c>
      <c r="E239">
        <v>157</v>
      </c>
      <c r="F239">
        <v>15072</v>
      </c>
    </row>
    <row r="240" spans="1:6">
      <c r="A240" t="s">
        <v>848</v>
      </c>
      <c r="B240" s="33">
        <v>43304</v>
      </c>
      <c r="C240" t="s">
        <v>282</v>
      </c>
      <c r="D240">
        <v>157</v>
      </c>
      <c r="E240">
        <v>222</v>
      </c>
      <c r="F240">
        <v>34854</v>
      </c>
    </row>
    <row r="241" spans="1:6">
      <c r="A241" t="s">
        <v>849</v>
      </c>
      <c r="B241" s="33">
        <v>43304</v>
      </c>
      <c r="C241" t="s">
        <v>288</v>
      </c>
      <c r="D241">
        <v>153</v>
      </c>
      <c r="E241">
        <v>84</v>
      </c>
      <c r="F241">
        <v>12852</v>
      </c>
    </row>
    <row r="242" spans="1:6">
      <c r="A242" t="s">
        <v>850</v>
      </c>
      <c r="B242" s="33">
        <v>43304</v>
      </c>
      <c r="C242" t="s">
        <v>290</v>
      </c>
      <c r="D242">
        <v>220</v>
      </c>
      <c r="E242">
        <v>15</v>
      </c>
      <c r="F242">
        <v>3300</v>
      </c>
    </row>
    <row r="243" spans="1:6">
      <c r="A243" t="s">
        <v>851</v>
      </c>
      <c r="B243" s="33">
        <v>43304</v>
      </c>
      <c r="C243" t="s">
        <v>290</v>
      </c>
      <c r="D243">
        <v>266</v>
      </c>
      <c r="E243">
        <v>280</v>
      </c>
      <c r="F243">
        <v>74480</v>
      </c>
    </row>
    <row r="244" spans="1:6">
      <c r="A244" t="s">
        <v>852</v>
      </c>
      <c r="B244" s="33">
        <v>43304</v>
      </c>
      <c r="C244" t="s">
        <v>284</v>
      </c>
      <c r="D244">
        <v>92</v>
      </c>
      <c r="E244">
        <v>26</v>
      </c>
      <c r="F244">
        <v>2392</v>
      </c>
    </row>
    <row r="245" spans="1:6">
      <c r="A245" t="s">
        <v>853</v>
      </c>
      <c r="B245" s="33">
        <v>43304</v>
      </c>
      <c r="C245" t="s">
        <v>284</v>
      </c>
      <c r="D245">
        <v>261</v>
      </c>
      <c r="E245">
        <v>48</v>
      </c>
      <c r="F245">
        <v>12528</v>
      </c>
    </row>
    <row r="246" spans="1:6">
      <c r="A246" t="s">
        <v>854</v>
      </c>
      <c r="B246" s="33">
        <v>43304</v>
      </c>
      <c r="C246" t="s">
        <v>284</v>
      </c>
      <c r="D246">
        <v>153</v>
      </c>
      <c r="E246">
        <v>392</v>
      </c>
      <c r="F246">
        <v>59976</v>
      </c>
    </row>
    <row r="247" spans="1:6">
      <c r="A247" t="s">
        <v>855</v>
      </c>
      <c r="B247" s="33">
        <v>43304</v>
      </c>
      <c r="C247" t="s">
        <v>288</v>
      </c>
      <c r="D247">
        <v>115</v>
      </c>
      <c r="E247">
        <v>340</v>
      </c>
      <c r="F247">
        <v>39100</v>
      </c>
    </row>
    <row r="248" spans="1:6">
      <c r="A248" t="s">
        <v>856</v>
      </c>
      <c r="B248" s="33">
        <v>43304</v>
      </c>
      <c r="C248" t="s">
        <v>284</v>
      </c>
      <c r="D248">
        <v>68</v>
      </c>
      <c r="E248">
        <v>41</v>
      </c>
      <c r="F248">
        <v>2788</v>
      </c>
    </row>
    <row r="249" spans="1:6">
      <c r="A249" t="s">
        <v>857</v>
      </c>
      <c r="B249" s="33">
        <v>43304</v>
      </c>
      <c r="C249" t="s">
        <v>286</v>
      </c>
      <c r="D249">
        <v>192</v>
      </c>
      <c r="E249">
        <v>20</v>
      </c>
      <c r="F249">
        <v>3840</v>
      </c>
    </row>
    <row r="250" spans="1:6">
      <c r="A250" t="s">
        <v>858</v>
      </c>
      <c r="B250" s="33">
        <v>43305</v>
      </c>
      <c r="C250" t="s">
        <v>286</v>
      </c>
      <c r="D250">
        <v>63</v>
      </c>
      <c r="E250">
        <v>498</v>
      </c>
      <c r="F250">
        <v>31374</v>
      </c>
    </row>
    <row r="251" spans="1:6">
      <c r="A251" t="s">
        <v>859</v>
      </c>
      <c r="B251" s="33">
        <v>43305</v>
      </c>
      <c r="C251" t="s">
        <v>284</v>
      </c>
      <c r="D251">
        <v>86</v>
      </c>
      <c r="E251">
        <v>51</v>
      </c>
      <c r="F251">
        <v>4386</v>
      </c>
    </row>
    <row r="252" spans="1:6">
      <c r="A252" t="s">
        <v>860</v>
      </c>
      <c r="B252" s="33">
        <v>43305</v>
      </c>
      <c r="C252" t="s">
        <v>282</v>
      </c>
      <c r="D252">
        <v>153</v>
      </c>
      <c r="E252">
        <v>404</v>
      </c>
      <c r="F252">
        <v>61812</v>
      </c>
    </row>
    <row r="253" spans="1:6">
      <c r="A253" t="s">
        <v>861</v>
      </c>
      <c r="B253" s="33">
        <v>43305</v>
      </c>
      <c r="C253" t="s">
        <v>290</v>
      </c>
      <c r="D253">
        <v>58</v>
      </c>
      <c r="E253">
        <v>498</v>
      </c>
      <c r="F253">
        <v>28884</v>
      </c>
    </row>
    <row r="254" spans="1:6">
      <c r="A254" t="s">
        <v>862</v>
      </c>
      <c r="B254" s="33">
        <v>43305</v>
      </c>
      <c r="C254" t="s">
        <v>284</v>
      </c>
      <c r="D254">
        <v>144</v>
      </c>
      <c r="E254">
        <v>168</v>
      </c>
      <c r="F254">
        <v>24192</v>
      </c>
    </row>
    <row r="255" spans="1:6">
      <c r="A255" t="s">
        <v>863</v>
      </c>
      <c r="B255" s="33">
        <v>43305</v>
      </c>
      <c r="C255" t="s">
        <v>288</v>
      </c>
      <c r="D255">
        <v>15</v>
      </c>
      <c r="E255">
        <v>57</v>
      </c>
      <c r="F255">
        <v>855</v>
      </c>
    </row>
    <row r="256" spans="1:6">
      <c r="A256" t="s">
        <v>864</v>
      </c>
      <c r="B256" s="33">
        <v>43305</v>
      </c>
      <c r="C256" t="s">
        <v>282</v>
      </c>
      <c r="D256">
        <v>279</v>
      </c>
      <c r="E256">
        <v>302</v>
      </c>
      <c r="F256">
        <v>84258</v>
      </c>
    </row>
    <row r="257" spans="1:6">
      <c r="A257" t="s">
        <v>865</v>
      </c>
      <c r="B257" s="33">
        <v>43305</v>
      </c>
      <c r="C257" t="s">
        <v>286</v>
      </c>
      <c r="D257">
        <v>89</v>
      </c>
      <c r="E257">
        <v>6</v>
      </c>
      <c r="F257">
        <v>534</v>
      </c>
    </row>
    <row r="258" spans="1:6">
      <c r="A258" t="s">
        <v>866</v>
      </c>
      <c r="B258" s="33">
        <v>43305</v>
      </c>
      <c r="C258" t="s">
        <v>288</v>
      </c>
      <c r="D258">
        <v>273</v>
      </c>
      <c r="E258">
        <v>257</v>
      </c>
      <c r="F258">
        <v>70161</v>
      </c>
    </row>
    <row r="259" spans="1:6">
      <c r="A259" t="s">
        <v>867</v>
      </c>
      <c r="B259" s="33">
        <v>43305</v>
      </c>
      <c r="C259" t="s">
        <v>288</v>
      </c>
      <c r="D259">
        <v>69</v>
      </c>
      <c r="E259">
        <v>316</v>
      </c>
      <c r="F259">
        <v>21804</v>
      </c>
    </row>
    <row r="260" spans="1:6">
      <c r="A260" t="s">
        <v>868</v>
      </c>
      <c r="B260" s="33">
        <v>43305</v>
      </c>
      <c r="C260" t="s">
        <v>286</v>
      </c>
      <c r="D260">
        <v>69</v>
      </c>
      <c r="E260">
        <v>361</v>
      </c>
      <c r="F260">
        <v>24909</v>
      </c>
    </row>
    <row r="261" spans="1:6">
      <c r="A261" t="s">
        <v>869</v>
      </c>
      <c r="B261" s="33">
        <v>43305</v>
      </c>
      <c r="C261" t="s">
        <v>288</v>
      </c>
      <c r="D261">
        <v>150</v>
      </c>
      <c r="E261">
        <v>399</v>
      </c>
      <c r="F261">
        <v>59850</v>
      </c>
    </row>
    <row r="262" spans="1:6">
      <c r="A262" t="s">
        <v>870</v>
      </c>
      <c r="B262" s="33">
        <v>43305</v>
      </c>
      <c r="C262" t="s">
        <v>286</v>
      </c>
      <c r="D262">
        <v>197</v>
      </c>
      <c r="E262">
        <v>284</v>
      </c>
      <c r="F262">
        <v>55948</v>
      </c>
    </row>
    <row r="263" spans="1:6">
      <c r="A263" t="s">
        <v>871</v>
      </c>
      <c r="B263" s="33">
        <v>43305</v>
      </c>
      <c r="C263" t="s">
        <v>290</v>
      </c>
      <c r="D263">
        <v>285</v>
      </c>
      <c r="E263">
        <v>459</v>
      </c>
      <c r="F263">
        <v>130815</v>
      </c>
    </row>
    <row r="264" spans="1:6">
      <c r="A264" t="s">
        <v>872</v>
      </c>
      <c r="B264" s="33">
        <v>43306</v>
      </c>
      <c r="C264" t="s">
        <v>286</v>
      </c>
      <c r="D264">
        <v>246</v>
      </c>
      <c r="E264">
        <v>50</v>
      </c>
      <c r="F264">
        <v>12300</v>
      </c>
    </row>
    <row r="265" spans="1:6">
      <c r="A265" t="s">
        <v>873</v>
      </c>
      <c r="B265" s="33">
        <v>43306</v>
      </c>
      <c r="C265" t="s">
        <v>282</v>
      </c>
      <c r="D265">
        <v>40</v>
      </c>
      <c r="E265">
        <v>14</v>
      </c>
      <c r="F265">
        <v>560</v>
      </c>
    </row>
    <row r="266" spans="1:6">
      <c r="A266" t="s">
        <v>874</v>
      </c>
      <c r="B266" s="33">
        <v>43306</v>
      </c>
      <c r="C266" t="s">
        <v>288</v>
      </c>
      <c r="D266">
        <v>25</v>
      </c>
      <c r="E266">
        <v>55</v>
      </c>
      <c r="F266">
        <v>1375</v>
      </c>
    </row>
    <row r="267" spans="1:6">
      <c r="A267" t="s">
        <v>875</v>
      </c>
      <c r="B267" s="33">
        <v>43306</v>
      </c>
      <c r="C267" t="s">
        <v>288</v>
      </c>
      <c r="D267">
        <v>38</v>
      </c>
      <c r="E267">
        <v>464</v>
      </c>
      <c r="F267">
        <v>17632</v>
      </c>
    </row>
    <row r="268" spans="1:6">
      <c r="A268" t="s">
        <v>876</v>
      </c>
      <c r="B268" s="33">
        <v>43306</v>
      </c>
      <c r="C268" t="s">
        <v>290</v>
      </c>
      <c r="D268">
        <v>266</v>
      </c>
      <c r="E268">
        <v>407</v>
      </c>
      <c r="F268">
        <v>108262</v>
      </c>
    </row>
    <row r="269" spans="1:6">
      <c r="A269" t="s">
        <v>877</v>
      </c>
      <c r="B269" s="33">
        <v>43306</v>
      </c>
      <c r="C269" t="s">
        <v>288</v>
      </c>
      <c r="D269">
        <v>140</v>
      </c>
      <c r="E269">
        <v>387</v>
      </c>
      <c r="F269">
        <v>54180</v>
      </c>
    </row>
    <row r="270" spans="1:6">
      <c r="A270" t="s">
        <v>878</v>
      </c>
      <c r="B270" s="33">
        <v>43306</v>
      </c>
      <c r="C270" t="s">
        <v>288</v>
      </c>
      <c r="D270">
        <v>54</v>
      </c>
      <c r="E270">
        <v>7</v>
      </c>
      <c r="F270">
        <v>378</v>
      </c>
    </row>
    <row r="271" spans="1:6">
      <c r="A271" t="s">
        <v>879</v>
      </c>
      <c r="B271" s="33">
        <v>43306</v>
      </c>
      <c r="C271" t="s">
        <v>290</v>
      </c>
      <c r="D271">
        <v>261</v>
      </c>
      <c r="E271">
        <v>329</v>
      </c>
      <c r="F271">
        <v>85869</v>
      </c>
    </row>
    <row r="272" spans="1:6">
      <c r="A272" t="s">
        <v>880</v>
      </c>
      <c r="B272" s="33">
        <v>43306</v>
      </c>
      <c r="C272" t="s">
        <v>288</v>
      </c>
      <c r="D272">
        <v>18</v>
      </c>
      <c r="E272">
        <v>472</v>
      </c>
      <c r="F272">
        <v>8496</v>
      </c>
    </row>
    <row r="273" spans="1:6">
      <c r="A273" t="s">
        <v>881</v>
      </c>
      <c r="B273" s="33">
        <v>43306</v>
      </c>
      <c r="C273" t="s">
        <v>282</v>
      </c>
      <c r="D273">
        <v>215</v>
      </c>
      <c r="E273">
        <v>53</v>
      </c>
      <c r="F273">
        <v>11395</v>
      </c>
    </row>
    <row r="274" spans="1:6">
      <c r="A274" t="s">
        <v>882</v>
      </c>
      <c r="B274" s="33">
        <v>43306</v>
      </c>
      <c r="C274" t="s">
        <v>286</v>
      </c>
      <c r="D274">
        <v>165</v>
      </c>
      <c r="E274">
        <v>13</v>
      </c>
      <c r="F274">
        <v>2145</v>
      </c>
    </row>
    <row r="275" spans="1:6">
      <c r="A275" t="s">
        <v>883</v>
      </c>
      <c r="B275" s="33">
        <v>43306</v>
      </c>
      <c r="C275" t="s">
        <v>284</v>
      </c>
      <c r="D275">
        <v>70</v>
      </c>
      <c r="E275">
        <v>339</v>
      </c>
      <c r="F275">
        <v>23730</v>
      </c>
    </row>
    <row r="276" spans="1:6">
      <c r="A276" t="s">
        <v>884</v>
      </c>
      <c r="B276" s="33">
        <v>43306</v>
      </c>
      <c r="C276" t="s">
        <v>284</v>
      </c>
      <c r="D276">
        <v>271</v>
      </c>
      <c r="E276">
        <v>64</v>
      </c>
      <c r="F276">
        <v>17344</v>
      </c>
    </row>
    <row r="277" spans="1:6">
      <c r="A277" t="s">
        <v>885</v>
      </c>
      <c r="B277" s="33">
        <v>43306</v>
      </c>
      <c r="C277" t="s">
        <v>284</v>
      </c>
      <c r="D277">
        <v>75</v>
      </c>
      <c r="E277">
        <v>29</v>
      </c>
      <c r="F277">
        <v>2175</v>
      </c>
    </row>
    <row r="278" spans="1:6">
      <c r="A278" t="s">
        <v>886</v>
      </c>
      <c r="B278" s="33">
        <v>43306</v>
      </c>
      <c r="C278" t="s">
        <v>284</v>
      </c>
      <c r="D278">
        <v>180</v>
      </c>
      <c r="E278">
        <v>316</v>
      </c>
      <c r="F278">
        <v>56880</v>
      </c>
    </row>
    <row r="279" spans="1:6">
      <c r="A279" t="s">
        <v>887</v>
      </c>
      <c r="B279" s="33">
        <v>43306</v>
      </c>
      <c r="C279" t="s">
        <v>284</v>
      </c>
      <c r="D279">
        <v>251</v>
      </c>
      <c r="E279">
        <v>16</v>
      </c>
      <c r="F279">
        <v>4016</v>
      </c>
    </row>
    <row r="280" spans="1:6">
      <c r="A280" t="s">
        <v>888</v>
      </c>
      <c r="B280" s="33">
        <v>43306</v>
      </c>
      <c r="C280" t="s">
        <v>282</v>
      </c>
      <c r="D280">
        <v>69</v>
      </c>
      <c r="E280">
        <v>51</v>
      </c>
      <c r="F280">
        <v>3519</v>
      </c>
    </row>
    <row r="281" spans="1:6">
      <c r="A281" t="s">
        <v>889</v>
      </c>
      <c r="B281" s="33">
        <v>43306</v>
      </c>
      <c r="C281" t="s">
        <v>282</v>
      </c>
      <c r="D281">
        <v>160</v>
      </c>
      <c r="E281">
        <v>71</v>
      </c>
      <c r="F281">
        <v>11360</v>
      </c>
    </row>
    <row r="282" spans="1:6">
      <c r="A282" t="s">
        <v>890</v>
      </c>
      <c r="B282" s="33">
        <v>43307</v>
      </c>
      <c r="C282" t="s">
        <v>286</v>
      </c>
      <c r="D282">
        <v>187</v>
      </c>
      <c r="E282">
        <v>15</v>
      </c>
      <c r="F282">
        <v>2805</v>
      </c>
    </row>
    <row r="283" spans="1:6">
      <c r="A283" t="s">
        <v>891</v>
      </c>
      <c r="B283" s="33">
        <v>43307</v>
      </c>
      <c r="C283" t="s">
        <v>282</v>
      </c>
      <c r="D283">
        <v>12</v>
      </c>
      <c r="E283">
        <v>400</v>
      </c>
      <c r="F283">
        <v>4800</v>
      </c>
    </row>
    <row r="284" spans="1:6">
      <c r="A284" t="s">
        <v>892</v>
      </c>
      <c r="B284" s="33">
        <v>43307</v>
      </c>
      <c r="C284" t="s">
        <v>284</v>
      </c>
      <c r="D284">
        <v>192</v>
      </c>
      <c r="E284">
        <v>52</v>
      </c>
      <c r="F284">
        <v>9984</v>
      </c>
    </row>
    <row r="285" spans="1:6">
      <c r="A285" t="s">
        <v>893</v>
      </c>
      <c r="B285" s="33">
        <v>43307</v>
      </c>
      <c r="C285" t="s">
        <v>288</v>
      </c>
      <c r="D285">
        <v>193</v>
      </c>
      <c r="E285">
        <v>252</v>
      </c>
      <c r="F285">
        <v>48636</v>
      </c>
    </row>
    <row r="286" spans="1:6">
      <c r="A286" t="s">
        <v>894</v>
      </c>
      <c r="B286" s="33">
        <v>43307</v>
      </c>
      <c r="C286" t="s">
        <v>288</v>
      </c>
      <c r="D286">
        <v>74</v>
      </c>
      <c r="E286">
        <v>437</v>
      </c>
      <c r="F286">
        <v>32338</v>
      </c>
    </row>
    <row r="287" spans="1:6">
      <c r="A287" t="s">
        <v>895</v>
      </c>
      <c r="B287" s="33">
        <v>43307</v>
      </c>
      <c r="C287" t="s">
        <v>282</v>
      </c>
      <c r="D287">
        <v>57</v>
      </c>
      <c r="E287">
        <v>8</v>
      </c>
      <c r="F287">
        <v>456</v>
      </c>
    </row>
    <row r="288" spans="1:6">
      <c r="A288" t="s">
        <v>896</v>
      </c>
      <c r="B288" s="33">
        <v>43307</v>
      </c>
      <c r="C288" t="s">
        <v>284</v>
      </c>
      <c r="D288">
        <v>284</v>
      </c>
      <c r="E288">
        <v>435</v>
      </c>
      <c r="F288">
        <v>123540</v>
      </c>
    </row>
    <row r="289" spans="1:6">
      <c r="A289" t="s">
        <v>897</v>
      </c>
      <c r="B289" s="33">
        <v>43307</v>
      </c>
      <c r="C289" t="s">
        <v>286</v>
      </c>
      <c r="D289">
        <v>122</v>
      </c>
      <c r="E289">
        <v>320</v>
      </c>
      <c r="F289">
        <v>39040</v>
      </c>
    </row>
    <row r="290" spans="1:6">
      <c r="A290" t="s">
        <v>898</v>
      </c>
      <c r="B290" s="33">
        <v>43307</v>
      </c>
      <c r="C290" t="s">
        <v>286</v>
      </c>
      <c r="D290">
        <v>102</v>
      </c>
      <c r="E290">
        <v>41</v>
      </c>
      <c r="F290">
        <v>4182</v>
      </c>
    </row>
    <row r="291" spans="1:6">
      <c r="A291" t="s">
        <v>899</v>
      </c>
      <c r="B291" s="33">
        <v>43307</v>
      </c>
      <c r="C291" t="s">
        <v>284</v>
      </c>
      <c r="D291">
        <v>269</v>
      </c>
      <c r="E291">
        <v>386</v>
      </c>
      <c r="F291">
        <v>103834</v>
      </c>
    </row>
    <row r="292" spans="1:6">
      <c r="A292" t="s">
        <v>900</v>
      </c>
      <c r="B292" s="33">
        <v>43307</v>
      </c>
      <c r="C292" t="s">
        <v>282</v>
      </c>
      <c r="D292">
        <v>127</v>
      </c>
      <c r="E292">
        <v>26</v>
      </c>
      <c r="F292">
        <v>3302</v>
      </c>
    </row>
    <row r="293" spans="1:6">
      <c r="A293" t="s">
        <v>901</v>
      </c>
      <c r="B293" s="33">
        <v>43308</v>
      </c>
      <c r="C293" t="s">
        <v>282</v>
      </c>
      <c r="D293">
        <v>130</v>
      </c>
      <c r="E293">
        <v>134</v>
      </c>
      <c r="F293">
        <v>17420</v>
      </c>
    </row>
    <row r="294" spans="1:6">
      <c r="A294" t="s">
        <v>902</v>
      </c>
      <c r="B294" s="33">
        <v>43308</v>
      </c>
      <c r="C294" t="s">
        <v>284</v>
      </c>
      <c r="D294">
        <v>16</v>
      </c>
      <c r="E294">
        <v>300</v>
      </c>
      <c r="F294">
        <v>4800</v>
      </c>
    </row>
    <row r="295" spans="1:6">
      <c r="A295" t="s">
        <v>903</v>
      </c>
      <c r="B295" s="33">
        <v>43308</v>
      </c>
      <c r="C295" t="s">
        <v>290</v>
      </c>
      <c r="D295">
        <v>126</v>
      </c>
      <c r="E295">
        <v>295</v>
      </c>
      <c r="F295">
        <v>37170</v>
      </c>
    </row>
    <row r="296" spans="1:6">
      <c r="A296" t="s">
        <v>904</v>
      </c>
      <c r="B296" s="33">
        <v>43308</v>
      </c>
      <c r="C296" t="s">
        <v>284</v>
      </c>
      <c r="D296">
        <v>146</v>
      </c>
      <c r="E296">
        <v>13</v>
      </c>
      <c r="F296">
        <v>1898</v>
      </c>
    </row>
    <row r="297" spans="1:6">
      <c r="A297" t="s">
        <v>905</v>
      </c>
      <c r="B297" s="33">
        <v>43308</v>
      </c>
      <c r="C297" t="s">
        <v>288</v>
      </c>
      <c r="D297">
        <v>205</v>
      </c>
      <c r="E297">
        <v>157</v>
      </c>
      <c r="F297">
        <v>32185</v>
      </c>
    </row>
    <row r="298" spans="1:6">
      <c r="A298" t="s">
        <v>906</v>
      </c>
      <c r="B298" s="33">
        <v>43308</v>
      </c>
      <c r="C298" t="s">
        <v>288</v>
      </c>
      <c r="D298">
        <v>282</v>
      </c>
      <c r="E298">
        <v>23</v>
      </c>
      <c r="F298">
        <v>6486</v>
      </c>
    </row>
    <row r="299" spans="1:6">
      <c r="A299" t="s">
        <v>907</v>
      </c>
      <c r="B299" s="33">
        <v>43308</v>
      </c>
      <c r="C299" t="s">
        <v>286</v>
      </c>
      <c r="D299">
        <v>258</v>
      </c>
      <c r="E299">
        <v>376</v>
      </c>
      <c r="F299">
        <v>97008</v>
      </c>
    </row>
    <row r="300" spans="1:6">
      <c r="A300" t="s">
        <v>908</v>
      </c>
      <c r="B300" s="33">
        <v>43308</v>
      </c>
      <c r="C300" t="s">
        <v>290</v>
      </c>
      <c r="D300">
        <v>222</v>
      </c>
      <c r="E300">
        <v>42</v>
      </c>
      <c r="F300">
        <v>9324</v>
      </c>
    </row>
    <row r="301" spans="1:6">
      <c r="A301" t="s">
        <v>909</v>
      </c>
      <c r="B301" s="33">
        <v>43309</v>
      </c>
      <c r="C301" t="s">
        <v>282</v>
      </c>
      <c r="D301">
        <v>159</v>
      </c>
      <c r="E301">
        <v>63</v>
      </c>
      <c r="F301">
        <v>10017</v>
      </c>
    </row>
    <row r="302" spans="1:6">
      <c r="A302" t="s">
        <v>910</v>
      </c>
      <c r="B302" s="33">
        <v>43309</v>
      </c>
      <c r="C302" t="s">
        <v>286</v>
      </c>
      <c r="D302">
        <v>107</v>
      </c>
      <c r="E302">
        <v>59</v>
      </c>
      <c r="F302">
        <v>6313</v>
      </c>
    </row>
    <row r="303" spans="1:6">
      <c r="A303" t="s">
        <v>911</v>
      </c>
      <c r="B303" s="33">
        <v>43309</v>
      </c>
      <c r="C303" t="s">
        <v>282</v>
      </c>
      <c r="D303">
        <v>93</v>
      </c>
      <c r="E303">
        <v>146</v>
      </c>
      <c r="F303">
        <v>13578</v>
      </c>
    </row>
    <row r="304" spans="1:6">
      <c r="A304" t="s">
        <v>912</v>
      </c>
      <c r="B304" s="33">
        <v>43309</v>
      </c>
      <c r="C304" t="s">
        <v>288</v>
      </c>
      <c r="D304">
        <v>159</v>
      </c>
      <c r="E304">
        <v>179</v>
      </c>
      <c r="F304">
        <v>28461</v>
      </c>
    </row>
    <row r="305" spans="1:6">
      <c r="A305" t="s">
        <v>913</v>
      </c>
      <c r="B305" s="33">
        <v>43309</v>
      </c>
      <c r="C305" t="s">
        <v>284</v>
      </c>
      <c r="D305">
        <v>132</v>
      </c>
      <c r="E305">
        <v>329</v>
      </c>
      <c r="F305">
        <v>43428</v>
      </c>
    </row>
    <row r="306" spans="1:6">
      <c r="A306" t="s">
        <v>914</v>
      </c>
      <c r="B306" s="33">
        <v>43309</v>
      </c>
      <c r="C306" t="s">
        <v>288</v>
      </c>
      <c r="D306">
        <v>50</v>
      </c>
      <c r="E306">
        <v>125</v>
      </c>
      <c r="F306">
        <v>6250</v>
      </c>
    </row>
    <row r="307" spans="1:6">
      <c r="A307" t="s">
        <v>915</v>
      </c>
      <c r="B307" s="33">
        <v>43309</v>
      </c>
      <c r="C307" t="s">
        <v>286</v>
      </c>
      <c r="D307">
        <v>246</v>
      </c>
      <c r="E307">
        <v>489</v>
      </c>
      <c r="F307">
        <v>120294</v>
      </c>
    </row>
    <row r="308" spans="1:6">
      <c r="A308" t="s">
        <v>916</v>
      </c>
      <c r="B308" s="33">
        <v>43309</v>
      </c>
      <c r="C308" t="s">
        <v>290</v>
      </c>
      <c r="D308">
        <v>240</v>
      </c>
      <c r="E308">
        <v>255</v>
      </c>
      <c r="F308">
        <v>61200</v>
      </c>
    </row>
    <row r="309" spans="1:6">
      <c r="A309" t="s">
        <v>917</v>
      </c>
      <c r="B309" s="33">
        <v>43309</v>
      </c>
      <c r="C309" t="s">
        <v>282</v>
      </c>
      <c r="D309">
        <v>21</v>
      </c>
      <c r="E309">
        <v>58</v>
      </c>
      <c r="F309">
        <v>1218</v>
      </c>
    </row>
    <row r="310" spans="1:6">
      <c r="A310" t="s">
        <v>918</v>
      </c>
      <c r="B310" s="33">
        <v>43310</v>
      </c>
      <c r="C310" t="s">
        <v>288</v>
      </c>
      <c r="D310">
        <v>103</v>
      </c>
      <c r="E310">
        <v>374</v>
      </c>
      <c r="F310">
        <v>38522</v>
      </c>
    </row>
    <row r="311" spans="1:6">
      <c r="A311" t="s">
        <v>919</v>
      </c>
      <c r="B311" s="33">
        <v>43310</v>
      </c>
      <c r="C311" t="s">
        <v>284</v>
      </c>
      <c r="D311">
        <v>162</v>
      </c>
      <c r="E311">
        <v>44</v>
      </c>
      <c r="F311">
        <v>7128</v>
      </c>
    </row>
    <row r="312" spans="1:6">
      <c r="A312" t="s">
        <v>920</v>
      </c>
      <c r="B312" s="33">
        <v>43310</v>
      </c>
      <c r="C312" t="s">
        <v>290</v>
      </c>
      <c r="D312">
        <v>45</v>
      </c>
      <c r="E312">
        <v>135</v>
      </c>
      <c r="F312">
        <v>6075</v>
      </c>
    </row>
    <row r="313" spans="1:6">
      <c r="A313" t="s">
        <v>921</v>
      </c>
      <c r="B313" s="33">
        <v>43310</v>
      </c>
      <c r="C313" t="s">
        <v>282</v>
      </c>
      <c r="D313">
        <v>109</v>
      </c>
      <c r="E313">
        <v>326</v>
      </c>
      <c r="F313">
        <v>35534</v>
      </c>
    </row>
    <row r="314" spans="1:6">
      <c r="A314" t="s">
        <v>922</v>
      </c>
      <c r="B314" s="33">
        <v>43310</v>
      </c>
      <c r="C314" t="s">
        <v>282</v>
      </c>
      <c r="D314">
        <v>229</v>
      </c>
      <c r="E314">
        <v>61</v>
      </c>
      <c r="F314">
        <v>13969</v>
      </c>
    </row>
    <row r="315" spans="1:6">
      <c r="A315" t="s">
        <v>923</v>
      </c>
      <c r="B315" s="33">
        <v>43310</v>
      </c>
      <c r="C315" t="s">
        <v>282</v>
      </c>
      <c r="D315">
        <v>54</v>
      </c>
      <c r="E315">
        <v>390</v>
      </c>
      <c r="F315">
        <v>21060</v>
      </c>
    </row>
    <row r="316" spans="1:6">
      <c r="A316" t="s">
        <v>924</v>
      </c>
      <c r="B316" s="33">
        <v>43310</v>
      </c>
      <c r="C316" t="s">
        <v>286</v>
      </c>
      <c r="D316">
        <v>215</v>
      </c>
      <c r="E316">
        <v>54</v>
      </c>
      <c r="F316">
        <v>11610</v>
      </c>
    </row>
    <row r="317" spans="1:6">
      <c r="A317" t="s">
        <v>925</v>
      </c>
      <c r="B317" s="33">
        <v>43311</v>
      </c>
      <c r="C317" t="s">
        <v>286</v>
      </c>
      <c r="D317">
        <v>130</v>
      </c>
      <c r="E317">
        <v>460</v>
      </c>
      <c r="F317">
        <v>59800</v>
      </c>
    </row>
    <row r="318" spans="1:6">
      <c r="A318" t="s">
        <v>926</v>
      </c>
      <c r="B318" s="33">
        <v>43311</v>
      </c>
      <c r="C318" t="s">
        <v>284</v>
      </c>
      <c r="D318">
        <v>76</v>
      </c>
      <c r="E318">
        <v>35</v>
      </c>
      <c r="F318">
        <v>2660</v>
      </c>
    </row>
    <row r="319" spans="1:6">
      <c r="A319" t="s">
        <v>927</v>
      </c>
      <c r="B319" s="33">
        <v>43311</v>
      </c>
      <c r="C319" t="s">
        <v>288</v>
      </c>
      <c r="D319">
        <v>38</v>
      </c>
      <c r="E319">
        <v>50</v>
      </c>
      <c r="F319">
        <v>1900</v>
      </c>
    </row>
    <row r="320" spans="1:6">
      <c r="A320" t="s">
        <v>928</v>
      </c>
      <c r="B320" s="33">
        <v>43311</v>
      </c>
      <c r="C320" t="s">
        <v>288</v>
      </c>
      <c r="D320">
        <v>39</v>
      </c>
      <c r="E320">
        <v>57</v>
      </c>
      <c r="F320">
        <v>2223</v>
      </c>
    </row>
    <row r="321" spans="1:6">
      <c r="A321" t="s">
        <v>929</v>
      </c>
      <c r="B321" s="33">
        <v>43311</v>
      </c>
      <c r="C321" t="s">
        <v>290</v>
      </c>
      <c r="D321">
        <v>270</v>
      </c>
      <c r="E321">
        <v>82</v>
      </c>
      <c r="F321">
        <v>22140</v>
      </c>
    </row>
    <row r="322" spans="1:6">
      <c r="A322" t="s">
        <v>930</v>
      </c>
      <c r="B322" s="33">
        <v>43311</v>
      </c>
      <c r="C322" t="s">
        <v>288</v>
      </c>
      <c r="D322">
        <v>283</v>
      </c>
      <c r="E322">
        <v>453</v>
      </c>
      <c r="F322">
        <v>128199</v>
      </c>
    </row>
    <row r="323" spans="1:6">
      <c r="A323" t="s">
        <v>931</v>
      </c>
      <c r="B323" s="33">
        <v>43311</v>
      </c>
      <c r="C323" t="s">
        <v>284</v>
      </c>
      <c r="D323">
        <v>177</v>
      </c>
      <c r="E323">
        <v>214</v>
      </c>
      <c r="F323">
        <v>37878</v>
      </c>
    </row>
    <row r="324" spans="1:6">
      <c r="A324" t="s">
        <v>932</v>
      </c>
      <c r="B324" s="33">
        <v>43311</v>
      </c>
      <c r="C324" t="s">
        <v>282</v>
      </c>
      <c r="D324">
        <v>136</v>
      </c>
      <c r="E324">
        <v>431</v>
      </c>
      <c r="F324">
        <v>58616</v>
      </c>
    </row>
    <row r="325" spans="1:6">
      <c r="A325" t="s">
        <v>933</v>
      </c>
      <c r="B325" s="33">
        <v>43311</v>
      </c>
      <c r="C325" t="s">
        <v>282</v>
      </c>
      <c r="D325">
        <v>202</v>
      </c>
      <c r="E325">
        <v>105</v>
      </c>
      <c r="F325">
        <v>21210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37C8-9863-450B-9661-C32079641BA8}">
  <dimension ref="A1:F47"/>
  <sheetViews>
    <sheetView workbookViewId="0"/>
  </sheetViews>
  <sheetFormatPr defaultRowHeight="14.4"/>
  <cols>
    <col min="1" max="1" width="7.88671875" bestFit="1" customWidth="1"/>
    <col min="2" max="2" width="15.77734375" bestFit="1" customWidth="1"/>
    <col min="3" max="3" width="20.77734375" bestFit="1" customWidth="1"/>
    <col min="4" max="4" width="20.33203125" bestFit="1" customWidth="1"/>
    <col min="5" max="5" width="22.6640625" bestFit="1" customWidth="1"/>
    <col min="6" max="6" width="22.21875" bestFit="1" customWidth="1"/>
  </cols>
  <sheetData>
    <row r="1" spans="1:6">
      <c r="A1" t="s">
        <v>934</v>
      </c>
      <c r="B1" t="s">
        <v>65</v>
      </c>
      <c r="C1" t="s">
        <v>935</v>
      </c>
      <c r="D1" t="s">
        <v>936</v>
      </c>
      <c r="E1" t="s">
        <v>937</v>
      </c>
      <c r="F1" t="s">
        <v>938</v>
      </c>
    </row>
    <row r="2" spans="1:6">
      <c r="A2">
        <v>1</v>
      </c>
      <c r="B2" t="s">
        <v>73</v>
      </c>
      <c r="C2">
        <v>22088953</v>
      </c>
      <c r="D2">
        <v>12442373</v>
      </c>
      <c r="E2">
        <v>11978450</v>
      </c>
      <c r="F2" t="s">
        <v>939</v>
      </c>
    </row>
    <row r="3" spans="1:6">
      <c r="A3">
        <v>2</v>
      </c>
      <c r="B3" t="s">
        <v>69</v>
      </c>
      <c r="C3">
        <v>34665569</v>
      </c>
      <c r="D3">
        <v>11034555</v>
      </c>
      <c r="E3">
        <v>9879172</v>
      </c>
      <c r="F3" t="s">
        <v>69</v>
      </c>
    </row>
    <row r="4" spans="1:6">
      <c r="A4">
        <v>3</v>
      </c>
      <c r="B4" t="s">
        <v>940</v>
      </c>
      <c r="D4">
        <v>8443675</v>
      </c>
      <c r="E4">
        <v>5682293</v>
      </c>
      <c r="F4" t="s">
        <v>941</v>
      </c>
    </row>
    <row r="5" spans="1:6">
      <c r="A5">
        <v>4</v>
      </c>
      <c r="B5" t="s">
        <v>90</v>
      </c>
      <c r="D5">
        <v>6993262</v>
      </c>
      <c r="E5">
        <v>5496960</v>
      </c>
      <c r="F5" t="s">
        <v>942</v>
      </c>
    </row>
    <row r="6" spans="1:6">
      <c r="A6">
        <v>5</v>
      </c>
      <c r="B6" t="s">
        <v>943</v>
      </c>
      <c r="D6">
        <v>5577940</v>
      </c>
      <c r="E6">
        <v>4470006</v>
      </c>
      <c r="F6" t="s">
        <v>944</v>
      </c>
    </row>
    <row r="7" spans="1:6">
      <c r="A7">
        <v>6</v>
      </c>
      <c r="B7" t="s">
        <v>87</v>
      </c>
      <c r="D7">
        <v>4646732</v>
      </c>
      <c r="E7">
        <v>4343645</v>
      </c>
      <c r="F7" t="s">
        <v>945</v>
      </c>
    </row>
    <row r="8" spans="1:6">
      <c r="A8">
        <v>7</v>
      </c>
      <c r="B8" t="s">
        <v>93</v>
      </c>
      <c r="D8">
        <v>4496694</v>
      </c>
      <c r="E8">
        <v>4580546</v>
      </c>
      <c r="F8" t="s">
        <v>946</v>
      </c>
    </row>
    <row r="9" spans="1:6">
      <c r="A9">
        <v>8</v>
      </c>
      <c r="B9" t="s">
        <v>947</v>
      </c>
      <c r="D9">
        <v>4467797</v>
      </c>
      <c r="E9">
        <v>2788126</v>
      </c>
      <c r="F9" t="s">
        <v>944</v>
      </c>
    </row>
    <row r="10" spans="1:6">
      <c r="A10">
        <v>9</v>
      </c>
      <c r="B10" t="s">
        <v>80</v>
      </c>
      <c r="D10">
        <v>3124458</v>
      </c>
      <c r="E10">
        <v>2538473</v>
      </c>
      <c r="F10" t="s">
        <v>939</v>
      </c>
    </row>
    <row r="11" spans="1:6">
      <c r="A11">
        <v>10</v>
      </c>
      <c r="B11" t="s">
        <v>948</v>
      </c>
      <c r="D11">
        <v>3046163</v>
      </c>
      <c r="E11">
        <v>2322575</v>
      </c>
      <c r="F11" t="s">
        <v>949</v>
      </c>
    </row>
    <row r="12" spans="1:6">
      <c r="A12">
        <v>11</v>
      </c>
      <c r="B12" t="s">
        <v>950</v>
      </c>
      <c r="D12">
        <v>2817105</v>
      </c>
      <c r="E12">
        <v>2185927</v>
      </c>
      <c r="F12" t="s">
        <v>951</v>
      </c>
    </row>
    <row r="13" spans="1:6">
      <c r="A13">
        <v>12</v>
      </c>
      <c r="B13" t="s">
        <v>952</v>
      </c>
      <c r="D13">
        <v>2765348</v>
      </c>
      <c r="E13">
        <v>2551337</v>
      </c>
      <c r="F13" t="s">
        <v>951</v>
      </c>
    </row>
    <row r="14" spans="1:6">
      <c r="A14">
        <v>13</v>
      </c>
      <c r="B14" t="s">
        <v>953</v>
      </c>
      <c r="D14">
        <v>2405665</v>
      </c>
      <c r="E14">
        <v>2052066</v>
      </c>
      <c r="F14" t="s">
        <v>939</v>
      </c>
    </row>
    <row r="15" spans="1:6">
      <c r="A15">
        <v>14</v>
      </c>
      <c r="B15" t="s">
        <v>954</v>
      </c>
      <c r="D15">
        <v>1964086</v>
      </c>
      <c r="E15">
        <v>1503237</v>
      </c>
      <c r="F15" t="s">
        <v>955</v>
      </c>
    </row>
    <row r="16" spans="1:6">
      <c r="A16">
        <v>15</v>
      </c>
      <c r="B16" t="s">
        <v>956</v>
      </c>
      <c r="D16">
        <v>1841488</v>
      </c>
      <c r="E16">
        <v>1262551</v>
      </c>
      <c r="F16" t="s">
        <v>939</v>
      </c>
    </row>
    <row r="17" spans="1:6">
      <c r="A17">
        <v>16</v>
      </c>
      <c r="B17" t="s">
        <v>957</v>
      </c>
      <c r="D17">
        <v>1798218</v>
      </c>
      <c r="E17">
        <v>1458416</v>
      </c>
      <c r="F17" t="s">
        <v>955</v>
      </c>
    </row>
    <row r="18" spans="1:6">
      <c r="A18">
        <v>17</v>
      </c>
      <c r="B18" t="s">
        <v>958</v>
      </c>
      <c r="D18">
        <v>1728128</v>
      </c>
      <c r="E18">
        <v>1345938</v>
      </c>
      <c r="F18" t="s">
        <v>959</v>
      </c>
    </row>
    <row r="19" spans="1:6">
      <c r="A19">
        <v>18</v>
      </c>
      <c r="B19" t="s">
        <v>960</v>
      </c>
      <c r="D19">
        <v>1727692</v>
      </c>
      <c r="E19">
        <v>1020448</v>
      </c>
      <c r="F19" t="s">
        <v>939</v>
      </c>
    </row>
    <row r="20" spans="1:6">
      <c r="A20">
        <v>19</v>
      </c>
      <c r="B20" t="s">
        <v>961</v>
      </c>
      <c r="D20">
        <v>1684222</v>
      </c>
      <c r="E20">
        <v>1431477</v>
      </c>
      <c r="F20" t="s">
        <v>962</v>
      </c>
    </row>
    <row r="21" spans="1:6">
      <c r="A21">
        <v>20</v>
      </c>
      <c r="B21" t="s">
        <v>963</v>
      </c>
      <c r="D21">
        <v>1670806</v>
      </c>
      <c r="E21">
        <v>1338244</v>
      </c>
      <c r="F21" t="s">
        <v>944</v>
      </c>
    </row>
    <row r="22" spans="1:6">
      <c r="A22">
        <v>21</v>
      </c>
      <c r="B22" t="s">
        <v>964</v>
      </c>
      <c r="D22">
        <v>1648643</v>
      </c>
      <c r="E22">
        <v>968256</v>
      </c>
      <c r="F22" t="s">
        <v>951</v>
      </c>
    </row>
    <row r="23" spans="1:6">
      <c r="A23">
        <v>22</v>
      </c>
      <c r="B23" t="s">
        <v>965</v>
      </c>
      <c r="D23">
        <v>1618879</v>
      </c>
      <c r="E23">
        <v>1398467</v>
      </c>
      <c r="F23" t="s">
        <v>966</v>
      </c>
    </row>
    <row r="24" spans="1:6">
      <c r="A24">
        <v>23</v>
      </c>
      <c r="B24" t="s">
        <v>967</v>
      </c>
      <c r="D24">
        <v>1585704</v>
      </c>
      <c r="E24">
        <v>1275134</v>
      </c>
      <c r="F24" t="s">
        <v>951</v>
      </c>
    </row>
    <row r="25" spans="1:6">
      <c r="A25">
        <v>24</v>
      </c>
      <c r="B25" t="s">
        <v>968</v>
      </c>
      <c r="D25">
        <v>1486053</v>
      </c>
      <c r="E25">
        <v>1077236</v>
      </c>
      <c r="F25" t="s">
        <v>939</v>
      </c>
    </row>
    <row r="26" spans="1:6">
      <c r="A26">
        <v>25</v>
      </c>
      <c r="B26" t="s">
        <v>969</v>
      </c>
      <c r="D26">
        <v>1414050</v>
      </c>
      <c r="E26">
        <v>1055938</v>
      </c>
      <c r="F26" t="s">
        <v>970</v>
      </c>
    </row>
    <row r="27" spans="1:6">
      <c r="A27">
        <v>26</v>
      </c>
      <c r="B27" t="s">
        <v>971</v>
      </c>
      <c r="D27">
        <v>1305429</v>
      </c>
      <c r="E27">
        <v>1068772</v>
      </c>
      <c r="F27" t="s">
        <v>951</v>
      </c>
    </row>
    <row r="28" spans="1:6">
      <c r="A28">
        <v>27</v>
      </c>
      <c r="B28" t="s">
        <v>972</v>
      </c>
      <c r="D28">
        <v>1286678</v>
      </c>
      <c r="E28">
        <v>967476</v>
      </c>
      <c r="F28" t="s">
        <v>944</v>
      </c>
    </row>
    <row r="29" spans="1:6">
      <c r="A29">
        <v>28</v>
      </c>
      <c r="B29" t="s">
        <v>973</v>
      </c>
      <c r="D29">
        <v>1247327</v>
      </c>
      <c r="E29">
        <v>1193512</v>
      </c>
      <c r="F29" t="s">
        <v>939</v>
      </c>
    </row>
    <row r="30" spans="1:6">
      <c r="A30">
        <v>29</v>
      </c>
      <c r="B30" t="s">
        <v>974</v>
      </c>
      <c r="D30">
        <v>1222390</v>
      </c>
      <c r="E30">
        <v>518601</v>
      </c>
      <c r="F30" t="s">
        <v>939</v>
      </c>
    </row>
    <row r="31" spans="1:6">
      <c r="A31">
        <v>30</v>
      </c>
      <c r="B31" t="s">
        <v>975</v>
      </c>
      <c r="D31">
        <v>1198491</v>
      </c>
      <c r="E31">
        <v>1103952</v>
      </c>
      <c r="F31" t="s">
        <v>951</v>
      </c>
    </row>
    <row r="32" spans="1:6">
      <c r="A32">
        <v>31</v>
      </c>
      <c r="B32" t="s">
        <v>976</v>
      </c>
      <c r="D32">
        <v>1180570</v>
      </c>
      <c r="E32">
        <v>935764</v>
      </c>
      <c r="F32" t="s">
        <v>977</v>
      </c>
    </row>
    <row r="33" spans="1:6">
      <c r="A33">
        <v>32</v>
      </c>
      <c r="B33" t="s">
        <v>978</v>
      </c>
      <c r="D33">
        <v>1175116</v>
      </c>
      <c r="E33">
        <v>873311</v>
      </c>
      <c r="F33" t="s">
        <v>939</v>
      </c>
    </row>
    <row r="34" spans="1:6">
      <c r="A34">
        <v>33</v>
      </c>
      <c r="B34" t="s">
        <v>979</v>
      </c>
      <c r="D34">
        <v>1162472</v>
      </c>
      <c r="E34">
        <v>1031523</v>
      </c>
      <c r="F34" t="s">
        <v>980</v>
      </c>
    </row>
    <row r="35" spans="1:6">
      <c r="A35">
        <v>34</v>
      </c>
      <c r="B35" t="s">
        <v>981</v>
      </c>
      <c r="D35">
        <v>1132383</v>
      </c>
      <c r="E35">
        <v>979801</v>
      </c>
      <c r="F35" t="s">
        <v>966</v>
      </c>
    </row>
    <row r="36" spans="1:6">
      <c r="A36">
        <v>35</v>
      </c>
      <c r="B36" t="s">
        <v>982</v>
      </c>
      <c r="D36">
        <v>1120547</v>
      </c>
      <c r="E36">
        <v>704002</v>
      </c>
      <c r="F36" t="s">
        <v>939</v>
      </c>
    </row>
    <row r="37" spans="1:6">
      <c r="A37">
        <v>36</v>
      </c>
      <c r="B37" t="s">
        <v>983</v>
      </c>
      <c r="D37">
        <v>1112544</v>
      </c>
      <c r="E37">
        <v>975393</v>
      </c>
      <c r="F37" t="s">
        <v>951</v>
      </c>
    </row>
    <row r="38" spans="1:6">
      <c r="A38">
        <v>37</v>
      </c>
      <c r="B38" t="s">
        <v>984</v>
      </c>
      <c r="D38">
        <v>1077075</v>
      </c>
      <c r="E38">
        <v>1007532</v>
      </c>
      <c r="F38" t="s">
        <v>946</v>
      </c>
    </row>
    <row r="39" spans="1:6">
      <c r="A39">
        <v>38</v>
      </c>
      <c r="B39" t="s">
        <v>985</v>
      </c>
      <c r="D39">
        <v>1073427</v>
      </c>
      <c r="E39">
        <v>847093</v>
      </c>
      <c r="F39" t="s">
        <v>980</v>
      </c>
    </row>
    <row r="40" spans="1:6">
      <c r="A40">
        <v>39</v>
      </c>
      <c r="B40" t="s">
        <v>986</v>
      </c>
      <c r="D40">
        <v>1055525</v>
      </c>
      <c r="E40">
        <v>951472</v>
      </c>
      <c r="F40" t="s">
        <v>955</v>
      </c>
    </row>
    <row r="41" spans="1:6">
      <c r="A41">
        <v>40</v>
      </c>
      <c r="B41" t="s">
        <v>987</v>
      </c>
      <c r="D41">
        <v>1054420</v>
      </c>
      <c r="E41">
        <v>827026</v>
      </c>
      <c r="F41" t="s">
        <v>955</v>
      </c>
    </row>
    <row r="42" spans="1:6">
      <c r="A42">
        <v>41</v>
      </c>
      <c r="B42" t="s">
        <v>988</v>
      </c>
      <c r="D42">
        <v>1050721</v>
      </c>
      <c r="E42">
        <v>930882</v>
      </c>
      <c r="F42" t="s">
        <v>945</v>
      </c>
    </row>
    <row r="43" spans="1:6">
      <c r="A43">
        <v>42</v>
      </c>
      <c r="B43" t="s">
        <v>989</v>
      </c>
      <c r="D43">
        <v>1034358</v>
      </c>
      <c r="E43">
        <v>941760</v>
      </c>
      <c r="F43" t="s">
        <v>959</v>
      </c>
    </row>
    <row r="44" spans="1:6">
      <c r="A44">
        <v>43</v>
      </c>
      <c r="B44" t="s">
        <v>990</v>
      </c>
      <c r="D44">
        <v>1033756</v>
      </c>
      <c r="E44">
        <v>856525</v>
      </c>
      <c r="F44" t="s">
        <v>949</v>
      </c>
    </row>
    <row r="45" spans="1:6">
      <c r="A45">
        <v>44</v>
      </c>
      <c r="B45" t="s">
        <v>991</v>
      </c>
      <c r="D45">
        <v>1017865</v>
      </c>
      <c r="E45">
        <v>928869</v>
      </c>
      <c r="F45" t="s">
        <v>945</v>
      </c>
    </row>
    <row r="46" spans="1:6">
      <c r="A46">
        <v>45</v>
      </c>
      <c r="B46" t="s">
        <v>992</v>
      </c>
      <c r="D46">
        <v>1010433</v>
      </c>
      <c r="E46">
        <v>707469</v>
      </c>
      <c r="F46" t="s">
        <v>993</v>
      </c>
    </row>
    <row r="47" spans="1:6">
      <c r="A47">
        <v>46</v>
      </c>
      <c r="B47" t="s">
        <v>994</v>
      </c>
      <c r="D47">
        <v>1001694</v>
      </c>
      <c r="E47">
        <v>703150</v>
      </c>
      <c r="F47" t="s">
        <v>949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A7C61-3B66-4CAA-816D-A7C0469B3C3D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BB8F-5147-4733-A1CB-AC92D96CCE15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B7AF-DDBF-4C44-B5FA-AE635A02FDAC}">
  <dimension ref="A1"/>
  <sheetViews>
    <sheetView workbookViewId="0">
      <selection activeCell="N26" sqref="N26"/>
    </sheetView>
  </sheetViews>
  <sheetFormatPr defaultRowHeight="14.4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AEDC-5DAB-49F3-9746-11156D66B651}">
  <dimension ref="B2:F41"/>
  <sheetViews>
    <sheetView workbookViewId="0">
      <selection activeCell="B3" sqref="B3:B22"/>
    </sheetView>
  </sheetViews>
  <sheetFormatPr defaultRowHeight="14.4"/>
  <cols>
    <col min="2" max="2" width="38.6640625" bestFit="1" customWidth="1"/>
    <col min="3" max="3" width="25.21875" bestFit="1" customWidth="1"/>
    <col min="4" max="4" width="8" bestFit="1" customWidth="1"/>
    <col min="5" max="5" width="7" bestFit="1" customWidth="1"/>
  </cols>
  <sheetData>
    <row r="2" spans="2:6">
      <c r="B2" s="2" t="s">
        <v>0</v>
      </c>
      <c r="C2" s="2" t="s">
        <v>2</v>
      </c>
      <c r="D2" s="2" t="s">
        <v>4</v>
      </c>
      <c r="E2" s="41" t="s">
        <v>279</v>
      </c>
      <c r="F2" s="34" t="s">
        <v>280</v>
      </c>
    </row>
    <row r="3" spans="2:6">
      <c r="B3" s="35" t="s">
        <v>1019</v>
      </c>
      <c r="C3" s="1" t="s">
        <v>1018</v>
      </c>
      <c r="D3" s="1">
        <v>2</v>
      </c>
      <c r="E3" s="42">
        <v>19.989999999999998</v>
      </c>
      <c r="F3" s="1">
        <f>D3*E3</f>
        <v>39.979999999999997</v>
      </c>
    </row>
    <row r="4" spans="2:6">
      <c r="B4" s="35" t="s">
        <v>1019</v>
      </c>
      <c r="C4" s="1" t="s">
        <v>1020</v>
      </c>
      <c r="D4" s="1">
        <v>1</v>
      </c>
      <c r="E4" s="42">
        <v>34.5</v>
      </c>
      <c r="F4" s="1">
        <f t="shared" ref="F4:F22" si="0">D4*E4</f>
        <v>34.5</v>
      </c>
    </row>
    <row r="5" spans="2:6">
      <c r="B5" s="35" t="s">
        <v>1021</v>
      </c>
      <c r="C5" s="1" t="s">
        <v>1022</v>
      </c>
      <c r="D5" s="1">
        <v>3</v>
      </c>
      <c r="E5" s="42">
        <v>15</v>
      </c>
      <c r="F5" s="1">
        <f t="shared" si="0"/>
        <v>45</v>
      </c>
    </row>
    <row r="6" spans="2:6">
      <c r="B6" s="35" t="s">
        <v>1021</v>
      </c>
      <c r="C6" s="1" t="s">
        <v>1024</v>
      </c>
      <c r="D6" s="1">
        <v>1</v>
      </c>
      <c r="E6" s="42">
        <v>89.99</v>
      </c>
      <c r="F6" s="1">
        <f t="shared" si="0"/>
        <v>89.99</v>
      </c>
    </row>
    <row r="7" spans="2:6">
      <c r="B7" s="35" t="s">
        <v>1023</v>
      </c>
      <c r="C7" s="1" t="s">
        <v>1026</v>
      </c>
      <c r="D7" s="1">
        <v>2</v>
      </c>
      <c r="E7" s="42">
        <v>25.49</v>
      </c>
      <c r="F7" s="1">
        <f t="shared" si="0"/>
        <v>50.98</v>
      </c>
    </row>
    <row r="8" spans="2:6">
      <c r="B8" s="35" t="s">
        <v>1023</v>
      </c>
      <c r="C8" s="1" t="s">
        <v>1028</v>
      </c>
      <c r="D8" s="1">
        <v>1</v>
      </c>
      <c r="E8" s="42">
        <v>49.99</v>
      </c>
      <c r="F8" s="1">
        <f t="shared" si="0"/>
        <v>49.99</v>
      </c>
    </row>
    <row r="9" spans="2:6">
      <c r="B9" s="35" t="s">
        <v>1025</v>
      </c>
      <c r="C9" s="1" t="s">
        <v>1030</v>
      </c>
      <c r="D9" s="1">
        <v>1</v>
      </c>
      <c r="E9" s="42">
        <v>59.99</v>
      </c>
      <c r="F9" s="1">
        <f t="shared" si="0"/>
        <v>59.99</v>
      </c>
    </row>
    <row r="10" spans="2:6">
      <c r="B10" s="35" t="s">
        <v>1025</v>
      </c>
      <c r="C10" s="1" t="s">
        <v>1032</v>
      </c>
      <c r="D10" s="1">
        <v>1</v>
      </c>
      <c r="E10" s="42">
        <v>199.99</v>
      </c>
      <c r="F10" s="1">
        <f t="shared" si="0"/>
        <v>199.99</v>
      </c>
    </row>
    <row r="11" spans="2:6">
      <c r="B11" s="35" t="s">
        <v>1027</v>
      </c>
      <c r="C11" s="1" t="s">
        <v>1034</v>
      </c>
      <c r="D11" s="1">
        <v>2</v>
      </c>
      <c r="E11" s="42">
        <v>79</v>
      </c>
      <c r="F11" s="1">
        <f t="shared" si="0"/>
        <v>158</v>
      </c>
    </row>
    <row r="12" spans="2:6">
      <c r="B12" s="35" t="s">
        <v>1027</v>
      </c>
      <c r="C12" s="1" t="s">
        <v>1036</v>
      </c>
      <c r="D12" s="1">
        <v>1</v>
      </c>
      <c r="E12" s="42">
        <v>149.99</v>
      </c>
      <c r="F12" s="1">
        <f t="shared" si="0"/>
        <v>149.99</v>
      </c>
    </row>
    <row r="13" spans="2:6">
      <c r="B13" s="35" t="s">
        <v>1029</v>
      </c>
      <c r="C13" s="1" t="s">
        <v>1038</v>
      </c>
      <c r="D13" s="1">
        <v>3</v>
      </c>
      <c r="E13" s="42">
        <v>39.99</v>
      </c>
      <c r="F13" s="1">
        <f t="shared" si="0"/>
        <v>119.97</v>
      </c>
    </row>
    <row r="14" spans="2:6">
      <c r="B14" s="35" t="s">
        <v>1029</v>
      </c>
      <c r="C14" s="1" t="s">
        <v>1040</v>
      </c>
      <c r="D14" s="1">
        <v>2</v>
      </c>
      <c r="E14" s="42">
        <v>69.989999999999995</v>
      </c>
      <c r="F14" s="1">
        <f t="shared" si="0"/>
        <v>139.97999999999999</v>
      </c>
    </row>
    <row r="15" spans="2:6">
      <c r="B15" s="35" t="s">
        <v>1031</v>
      </c>
      <c r="C15" s="1" t="s">
        <v>1042</v>
      </c>
      <c r="D15" s="1">
        <v>4</v>
      </c>
      <c r="E15" s="42">
        <v>22.49</v>
      </c>
      <c r="F15" s="1">
        <f t="shared" si="0"/>
        <v>89.96</v>
      </c>
    </row>
    <row r="16" spans="2:6">
      <c r="B16" s="35" t="s">
        <v>1031</v>
      </c>
      <c r="C16" s="1" t="s">
        <v>1044</v>
      </c>
      <c r="D16" s="1">
        <v>2</v>
      </c>
      <c r="E16" s="42">
        <v>18.989999999999998</v>
      </c>
      <c r="F16" s="1">
        <f t="shared" si="0"/>
        <v>37.979999999999997</v>
      </c>
    </row>
    <row r="17" spans="2:6">
      <c r="B17" s="35" t="s">
        <v>1033</v>
      </c>
      <c r="C17" s="1" t="s">
        <v>1046</v>
      </c>
      <c r="D17" s="1">
        <v>5</v>
      </c>
      <c r="E17" s="42">
        <v>9.99</v>
      </c>
      <c r="F17" s="1">
        <f t="shared" si="0"/>
        <v>49.95</v>
      </c>
    </row>
    <row r="18" spans="2:6">
      <c r="B18" s="35" t="s">
        <v>1033</v>
      </c>
      <c r="C18" s="1" t="s">
        <v>1048</v>
      </c>
      <c r="D18" s="1">
        <v>1</v>
      </c>
      <c r="E18" s="42">
        <v>24.99</v>
      </c>
      <c r="F18" s="1">
        <f t="shared" si="0"/>
        <v>24.99</v>
      </c>
    </row>
    <row r="19" spans="2:6">
      <c r="B19" s="35" t="s">
        <v>1035</v>
      </c>
      <c r="C19" s="1" t="s">
        <v>1050</v>
      </c>
      <c r="D19" s="1">
        <v>1</v>
      </c>
      <c r="E19" s="42">
        <v>89</v>
      </c>
      <c r="F19" s="1">
        <f t="shared" si="0"/>
        <v>89</v>
      </c>
    </row>
    <row r="20" spans="2:6">
      <c r="B20" s="35" t="s">
        <v>1035</v>
      </c>
      <c r="C20" s="1" t="s">
        <v>1052</v>
      </c>
      <c r="D20" s="1">
        <v>2</v>
      </c>
      <c r="E20" s="42">
        <v>129.99</v>
      </c>
      <c r="F20" s="1">
        <f t="shared" si="0"/>
        <v>259.98</v>
      </c>
    </row>
    <row r="21" spans="2:6">
      <c r="B21" s="35" t="s">
        <v>1037</v>
      </c>
      <c r="C21" s="1" t="s">
        <v>1054</v>
      </c>
      <c r="D21" s="1">
        <v>3</v>
      </c>
      <c r="E21" s="42">
        <v>45</v>
      </c>
      <c r="F21" s="1">
        <f t="shared" si="0"/>
        <v>135</v>
      </c>
    </row>
    <row r="22" spans="2:6">
      <c r="B22" s="46" t="s">
        <v>1037</v>
      </c>
      <c r="C22" s="40" t="s">
        <v>1056</v>
      </c>
      <c r="D22" s="40">
        <v>1</v>
      </c>
      <c r="E22" s="39">
        <v>79.989999999999995</v>
      </c>
      <c r="F22" s="40">
        <f t="shared" si="0"/>
        <v>79.989999999999995</v>
      </c>
    </row>
    <row r="23" spans="2:6">
      <c r="B23" s="43" t="s">
        <v>1058</v>
      </c>
      <c r="C23" s="44"/>
      <c r="D23" s="45">
        <f>SUM(D3:D22)</f>
        <v>39</v>
      </c>
      <c r="E23" s="45">
        <f t="shared" ref="E23:F23" si="1">SUM(E3:E22)</f>
        <v>1254.3500000000001</v>
      </c>
      <c r="F23" s="45">
        <f t="shared" si="1"/>
        <v>1905.2100000000003</v>
      </c>
    </row>
    <row r="24" spans="2:6">
      <c r="B24" t="s">
        <v>995</v>
      </c>
    </row>
    <row r="25" spans="2:6">
      <c r="B25" t="s">
        <v>996</v>
      </c>
    </row>
    <row r="26" spans="2:6">
      <c r="B26" t="s">
        <v>997</v>
      </c>
    </row>
    <row r="27" spans="2:6">
      <c r="B27" t="s">
        <v>998</v>
      </c>
    </row>
    <row r="28" spans="2:6">
      <c r="B28" t="s">
        <v>999</v>
      </c>
    </row>
    <row r="29" spans="2:6">
      <c r="B29" t="s">
        <v>1000</v>
      </c>
    </row>
    <row r="30" spans="2:6">
      <c r="B30" t="s">
        <v>1001</v>
      </c>
    </row>
    <row r="31" spans="2:6">
      <c r="B31" t="s">
        <v>1002</v>
      </c>
    </row>
    <row r="32" spans="2:6">
      <c r="B32" t="s">
        <v>1003</v>
      </c>
    </row>
    <row r="33" spans="2:2">
      <c r="B33" t="s">
        <v>1004</v>
      </c>
    </row>
    <row r="34" spans="2:2">
      <c r="B34" t="s">
        <v>1005</v>
      </c>
    </row>
    <row r="35" spans="2:2">
      <c r="B35" t="s">
        <v>1006</v>
      </c>
    </row>
    <row r="36" spans="2:2">
      <c r="B36" t="s">
        <v>1007</v>
      </c>
    </row>
    <row r="37" spans="2:2">
      <c r="B37" t="s">
        <v>1008</v>
      </c>
    </row>
    <row r="38" spans="2:2">
      <c r="B38" t="s">
        <v>1009</v>
      </c>
    </row>
    <row r="39" spans="2:2">
      <c r="B39" t="s">
        <v>1010</v>
      </c>
    </row>
    <row r="40" spans="2:2">
      <c r="B40" t="s">
        <v>1011</v>
      </c>
    </row>
    <row r="41" spans="2:2">
      <c r="B41" t="s">
        <v>1012</v>
      </c>
    </row>
  </sheetData>
  <mergeCells count="1">
    <mergeCell ref="B23:C2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FAD7-C396-47D1-813A-1723CA6593EF}">
  <dimension ref="B2:J23"/>
  <sheetViews>
    <sheetView tabSelected="1" workbookViewId="0">
      <selection activeCell="M20" sqref="M20"/>
    </sheetView>
  </sheetViews>
  <sheetFormatPr defaultRowHeight="14.4"/>
  <cols>
    <col min="2" max="2" width="8.6640625" bestFit="1" customWidth="1"/>
    <col min="3" max="3" width="25.21875" bestFit="1" customWidth="1"/>
    <col min="4" max="4" width="8" bestFit="1" customWidth="1"/>
    <col min="5" max="5" width="7" bestFit="1" customWidth="1"/>
  </cols>
  <sheetData>
    <row r="2" spans="2:10">
      <c r="B2" s="2" t="s">
        <v>0</v>
      </c>
      <c r="C2" s="2" t="s">
        <v>2</v>
      </c>
      <c r="D2" s="2" t="s">
        <v>4</v>
      </c>
      <c r="E2" s="2" t="s">
        <v>279</v>
      </c>
      <c r="F2" s="2" t="s">
        <v>280</v>
      </c>
    </row>
    <row r="3" spans="2:10">
      <c r="B3" s="35" t="s">
        <v>1019</v>
      </c>
      <c r="C3" s="1" t="s">
        <v>1018</v>
      </c>
      <c r="D3" s="1">
        <v>2</v>
      </c>
      <c r="E3" s="1">
        <v>19.989999999999998</v>
      </c>
      <c r="F3" s="1">
        <f>D3*E3</f>
        <v>39.979999999999997</v>
      </c>
    </row>
    <row r="4" spans="2:10">
      <c r="B4" s="35" t="s">
        <v>1021</v>
      </c>
      <c r="C4" s="1" t="s">
        <v>1020</v>
      </c>
      <c r="D4" s="1">
        <v>1</v>
      </c>
      <c r="E4" s="1">
        <v>34.5</v>
      </c>
      <c r="F4" s="1">
        <f t="shared" ref="F4:F22" si="0">D4*E4</f>
        <v>34.5</v>
      </c>
    </row>
    <row r="5" spans="2:10">
      <c r="B5" s="35" t="s">
        <v>1023</v>
      </c>
      <c r="C5" s="1" t="s">
        <v>1022</v>
      </c>
      <c r="D5" s="1">
        <v>3</v>
      </c>
      <c r="E5" s="1">
        <v>15</v>
      </c>
      <c r="F5" s="1">
        <f t="shared" si="0"/>
        <v>45</v>
      </c>
      <c r="J5" t="s">
        <v>1076</v>
      </c>
    </row>
    <row r="6" spans="2:10">
      <c r="B6" s="35" t="s">
        <v>1025</v>
      </c>
      <c r="C6" s="1" t="s">
        <v>1024</v>
      </c>
      <c r="D6" s="1">
        <v>1</v>
      </c>
      <c r="E6" s="1">
        <v>89.99</v>
      </c>
      <c r="F6" s="1">
        <f t="shared" si="0"/>
        <v>89.99</v>
      </c>
    </row>
    <row r="7" spans="2:10">
      <c r="B7" s="35" t="s">
        <v>1027</v>
      </c>
      <c r="C7" s="1" t="s">
        <v>1026</v>
      </c>
      <c r="D7" s="1">
        <v>2</v>
      </c>
      <c r="E7" s="1">
        <v>25.49</v>
      </c>
      <c r="F7" s="1">
        <f t="shared" si="0"/>
        <v>50.98</v>
      </c>
      <c r="J7" t="s">
        <v>1077</v>
      </c>
    </row>
    <row r="8" spans="2:10">
      <c r="B8" s="35" t="s">
        <v>1029</v>
      </c>
      <c r="C8" s="1" t="s">
        <v>1028</v>
      </c>
      <c r="D8" s="1">
        <v>1</v>
      </c>
      <c r="E8" s="1">
        <v>49.99</v>
      </c>
      <c r="F8" s="1">
        <f t="shared" si="0"/>
        <v>49.99</v>
      </c>
    </row>
    <row r="9" spans="2:10">
      <c r="B9" s="35" t="s">
        <v>1031</v>
      </c>
      <c r="C9" s="1" t="s">
        <v>1030</v>
      </c>
      <c r="D9" s="1">
        <v>1</v>
      </c>
      <c r="E9" s="1">
        <v>59.99</v>
      </c>
      <c r="F9" s="1">
        <f t="shared" si="0"/>
        <v>59.99</v>
      </c>
    </row>
    <row r="10" spans="2:10">
      <c r="B10" s="35" t="s">
        <v>1033</v>
      </c>
      <c r="C10" s="1" t="s">
        <v>1032</v>
      </c>
      <c r="D10" s="1">
        <v>1</v>
      </c>
      <c r="E10" s="1">
        <v>199.99</v>
      </c>
      <c r="F10" s="1">
        <f t="shared" si="0"/>
        <v>199.99</v>
      </c>
    </row>
    <row r="11" spans="2:10">
      <c r="B11" s="35" t="s">
        <v>1035</v>
      </c>
      <c r="C11" s="1" t="s">
        <v>1034</v>
      </c>
      <c r="D11" s="1">
        <v>2</v>
      </c>
      <c r="E11" s="1">
        <v>79</v>
      </c>
      <c r="F11" s="1">
        <f t="shared" si="0"/>
        <v>158</v>
      </c>
    </row>
    <row r="12" spans="2:10">
      <c r="B12" s="35" t="s">
        <v>1037</v>
      </c>
      <c r="C12" s="1" t="s">
        <v>1036</v>
      </c>
      <c r="D12" s="1">
        <v>1</v>
      </c>
      <c r="E12" s="1">
        <v>149.99</v>
      </c>
      <c r="F12" s="1">
        <f t="shared" si="0"/>
        <v>149.99</v>
      </c>
    </row>
    <row r="13" spans="2:10">
      <c r="B13" s="35" t="s">
        <v>1039</v>
      </c>
      <c r="C13" s="1" t="s">
        <v>1038</v>
      </c>
      <c r="D13" s="1">
        <v>3</v>
      </c>
      <c r="E13" s="1">
        <v>39.99</v>
      </c>
      <c r="F13" s="1">
        <f t="shared" si="0"/>
        <v>119.97</v>
      </c>
    </row>
    <row r="14" spans="2:10">
      <c r="B14" s="35" t="s">
        <v>1041</v>
      </c>
      <c r="C14" s="1" t="s">
        <v>1040</v>
      </c>
      <c r="D14" s="1">
        <v>2</v>
      </c>
      <c r="E14" s="1">
        <v>69.989999999999995</v>
      </c>
      <c r="F14" s="1">
        <f t="shared" si="0"/>
        <v>139.97999999999999</v>
      </c>
    </row>
    <row r="15" spans="2:10">
      <c r="B15" s="35" t="s">
        <v>1043</v>
      </c>
      <c r="C15" s="1" t="s">
        <v>1042</v>
      </c>
      <c r="D15" s="1">
        <v>4</v>
      </c>
      <c r="E15" s="1">
        <v>22.49</v>
      </c>
      <c r="F15" s="1">
        <f t="shared" si="0"/>
        <v>89.96</v>
      </c>
    </row>
    <row r="16" spans="2:10">
      <c r="B16" s="35" t="s">
        <v>1045</v>
      </c>
      <c r="C16" s="1" t="s">
        <v>1044</v>
      </c>
      <c r="D16" s="1">
        <v>2</v>
      </c>
      <c r="E16" s="1">
        <v>18.989999999999998</v>
      </c>
      <c r="F16" s="1">
        <f t="shared" si="0"/>
        <v>37.979999999999997</v>
      </c>
    </row>
    <row r="17" spans="2:6">
      <c r="B17" s="35" t="s">
        <v>1047</v>
      </c>
      <c r="C17" s="1" t="s">
        <v>1046</v>
      </c>
      <c r="D17" s="1">
        <v>5</v>
      </c>
      <c r="E17" s="1">
        <v>9.99</v>
      </c>
      <c r="F17" s="1">
        <f t="shared" si="0"/>
        <v>49.95</v>
      </c>
    </row>
    <row r="18" spans="2:6">
      <c r="B18" s="35" t="s">
        <v>1049</v>
      </c>
      <c r="C18" s="1" t="s">
        <v>1048</v>
      </c>
      <c r="D18" s="1">
        <v>1</v>
      </c>
      <c r="E18" s="1">
        <v>24.99</v>
      </c>
      <c r="F18" s="1">
        <f t="shared" si="0"/>
        <v>24.99</v>
      </c>
    </row>
    <row r="19" spans="2:6">
      <c r="B19" s="35" t="s">
        <v>1051</v>
      </c>
      <c r="C19" s="1" t="s">
        <v>1050</v>
      </c>
      <c r="D19" s="1">
        <v>1</v>
      </c>
      <c r="E19" s="1">
        <v>89</v>
      </c>
      <c r="F19" s="1">
        <f t="shared" si="0"/>
        <v>89</v>
      </c>
    </row>
    <row r="20" spans="2:6">
      <c r="B20" s="35" t="s">
        <v>1053</v>
      </c>
      <c r="C20" s="1" t="s">
        <v>1052</v>
      </c>
      <c r="D20" s="1">
        <v>2</v>
      </c>
      <c r="E20" s="1">
        <v>129.99</v>
      </c>
      <c r="F20" s="1">
        <f t="shared" si="0"/>
        <v>259.98</v>
      </c>
    </row>
    <row r="21" spans="2:6">
      <c r="B21" s="35" t="s">
        <v>1055</v>
      </c>
      <c r="C21" s="1" t="s">
        <v>1054</v>
      </c>
      <c r="D21" s="1">
        <v>3</v>
      </c>
      <c r="E21" s="1">
        <v>45</v>
      </c>
      <c r="F21" s="1">
        <f t="shared" si="0"/>
        <v>135</v>
      </c>
    </row>
    <row r="22" spans="2:6">
      <c r="B22" s="35" t="s">
        <v>1057</v>
      </c>
      <c r="C22" s="1" t="s">
        <v>1056</v>
      </c>
      <c r="D22" s="1">
        <v>1</v>
      </c>
      <c r="E22" s="1">
        <v>79.989999999999995</v>
      </c>
      <c r="F22" s="1">
        <f t="shared" si="0"/>
        <v>79.989999999999995</v>
      </c>
    </row>
    <row r="23" spans="2:6">
      <c r="B23" s="36" t="s">
        <v>1058</v>
      </c>
      <c r="C23" s="37"/>
      <c r="D23" s="38">
        <f>SUM(D3:D22)</f>
        <v>39</v>
      </c>
      <c r="E23" s="38">
        <f t="shared" ref="E23:F23" si="1">SUM(E3:E22)</f>
        <v>1254.3500000000001</v>
      </c>
      <c r="F23" s="38">
        <f t="shared" si="1"/>
        <v>1905.2100000000003</v>
      </c>
    </row>
  </sheetData>
  <mergeCells count="1">
    <mergeCell ref="B23:C2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8D43-C2DF-4893-8AEB-527CED304779}">
  <dimension ref="B2:F36"/>
  <sheetViews>
    <sheetView workbookViewId="0">
      <selection activeCell="B3" sqref="B3:B22"/>
    </sheetView>
  </sheetViews>
  <sheetFormatPr defaultRowHeight="14.4"/>
  <cols>
    <col min="2" max="2" width="35.77734375" bestFit="1" customWidth="1"/>
    <col min="3" max="3" width="22.6640625" bestFit="1" customWidth="1"/>
    <col min="4" max="4" width="8" bestFit="1" customWidth="1"/>
    <col min="5" max="5" width="7" bestFit="1" customWidth="1"/>
  </cols>
  <sheetData>
    <row r="2" spans="2:6">
      <c r="B2" s="2" t="s">
        <v>0</v>
      </c>
      <c r="C2" s="2" t="s">
        <v>2</v>
      </c>
      <c r="D2" s="2" t="s">
        <v>4</v>
      </c>
      <c r="E2" s="41" t="s">
        <v>279</v>
      </c>
      <c r="F2" s="34" t="s">
        <v>280</v>
      </c>
    </row>
    <row r="3" spans="2:6">
      <c r="B3" s="35" t="s">
        <v>1035</v>
      </c>
      <c r="C3" s="1" t="s">
        <v>1052</v>
      </c>
      <c r="D3" s="1">
        <v>2</v>
      </c>
      <c r="E3" s="42">
        <v>129.99</v>
      </c>
      <c r="F3" s="1">
        <f>D3*E3</f>
        <v>259.98</v>
      </c>
    </row>
    <row r="4" spans="2:6">
      <c r="B4" s="35" t="s">
        <v>1035</v>
      </c>
      <c r="C4" s="1" t="s">
        <v>1059</v>
      </c>
      <c r="D4" s="1">
        <v>3</v>
      </c>
      <c r="E4" s="42">
        <v>14.99</v>
      </c>
      <c r="F4" s="1">
        <f t="shared" ref="F4:F22" si="0">D4*E4</f>
        <v>44.97</v>
      </c>
    </row>
    <row r="5" spans="2:6">
      <c r="B5" s="35" t="s">
        <v>1037</v>
      </c>
      <c r="C5" s="1" t="s">
        <v>1054</v>
      </c>
      <c r="D5" s="1">
        <v>3</v>
      </c>
      <c r="E5" s="42">
        <v>45</v>
      </c>
      <c r="F5" s="1">
        <f t="shared" si="0"/>
        <v>135</v>
      </c>
    </row>
    <row r="6" spans="2:6">
      <c r="B6" s="35" t="s">
        <v>1037</v>
      </c>
      <c r="C6" s="1" t="s">
        <v>1056</v>
      </c>
      <c r="D6" s="1">
        <v>1</v>
      </c>
      <c r="E6" s="42">
        <v>79.989999999999995</v>
      </c>
      <c r="F6" s="1">
        <f t="shared" si="0"/>
        <v>79.989999999999995</v>
      </c>
    </row>
    <row r="7" spans="2:6">
      <c r="B7" s="35" t="s">
        <v>1037</v>
      </c>
      <c r="C7" s="1" t="s">
        <v>1060</v>
      </c>
      <c r="D7" s="1">
        <v>2</v>
      </c>
      <c r="E7" s="42">
        <v>11.49</v>
      </c>
      <c r="F7" s="1">
        <f t="shared" si="0"/>
        <v>22.98</v>
      </c>
    </row>
    <row r="8" spans="2:6">
      <c r="B8" s="35" t="s">
        <v>1039</v>
      </c>
      <c r="C8" s="1" t="s">
        <v>1061</v>
      </c>
      <c r="D8" s="1">
        <v>2</v>
      </c>
      <c r="E8" s="42">
        <v>12.99</v>
      </c>
      <c r="F8" s="1">
        <f t="shared" si="0"/>
        <v>25.98</v>
      </c>
    </row>
    <row r="9" spans="2:6">
      <c r="B9" s="35" t="s">
        <v>1039</v>
      </c>
      <c r="C9" s="1" t="s">
        <v>1062</v>
      </c>
      <c r="D9" s="1">
        <v>1</v>
      </c>
      <c r="E9" s="42">
        <v>29.99</v>
      </c>
      <c r="F9" s="1">
        <f t="shared" si="0"/>
        <v>29.99</v>
      </c>
    </row>
    <row r="10" spans="2:6">
      <c r="B10" s="35" t="s">
        <v>1039</v>
      </c>
      <c r="C10" s="1" t="s">
        <v>1063</v>
      </c>
      <c r="D10" s="1">
        <v>3</v>
      </c>
      <c r="E10" s="42">
        <v>9.99</v>
      </c>
      <c r="F10" s="1">
        <f t="shared" si="0"/>
        <v>29.97</v>
      </c>
    </row>
    <row r="11" spans="2:6">
      <c r="B11" s="35" t="s">
        <v>1041</v>
      </c>
      <c r="C11" s="1" t="s">
        <v>1064</v>
      </c>
      <c r="D11" s="1">
        <v>1</v>
      </c>
      <c r="E11" s="42">
        <v>54.49</v>
      </c>
      <c r="F11" s="1">
        <f t="shared" si="0"/>
        <v>54.49</v>
      </c>
    </row>
    <row r="12" spans="2:6">
      <c r="B12" s="35" t="s">
        <v>1041</v>
      </c>
      <c r="C12" s="1" t="s">
        <v>1065</v>
      </c>
      <c r="D12" s="1">
        <v>2</v>
      </c>
      <c r="E12" s="42">
        <v>21.99</v>
      </c>
      <c r="F12" s="1">
        <f t="shared" si="0"/>
        <v>43.98</v>
      </c>
    </row>
    <row r="13" spans="2:6">
      <c r="B13" s="35" t="s">
        <v>1041</v>
      </c>
      <c r="C13" s="1" t="s">
        <v>1066</v>
      </c>
      <c r="D13" s="1">
        <v>1</v>
      </c>
      <c r="E13" s="42">
        <v>10.99</v>
      </c>
      <c r="F13" s="1">
        <f t="shared" si="0"/>
        <v>10.99</v>
      </c>
    </row>
    <row r="14" spans="2:6">
      <c r="B14" s="35" t="s">
        <v>1043</v>
      </c>
      <c r="C14" s="1" t="s">
        <v>1067</v>
      </c>
      <c r="D14" s="1">
        <v>1</v>
      </c>
      <c r="E14" s="42">
        <v>17.989999999999998</v>
      </c>
      <c r="F14" s="1">
        <f t="shared" si="0"/>
        <v>17.989999999999998</v>
      </c>
    </row>
    <row r="15" spans="2:6">
      <c r="B15" s="35" t="s">
        <v>1043</v>
      </c>
      <c r="C15" s="1" t="s">
        <v>1068</v>
      </c>
      <c r="D15" s="1">
        <v>2</v>
      </c>
      <c r="E15" s="42">
        <v>26.49</v>
      </c>
      <c r="F15" s="1">
        <f t="shared" si="0"/>
        <v>52.98</v>
      </c>
    </row>
    <row r="16" spans="2:6">
      <c r="B16" s="35" t="s">
        <v>1043</v>
      </c>
      <c r="C16" s="1" t="s">
        <v>1069</v>
      </c>
      <c r="D16" s="1">
        <v>2</v>
      </c>
      <c r="E16" s="42">
        <v>6.49</v>
      </c>
      <c r="F16" s="1">
        <f t="shared" si="0"/>
        <v>12.98</v>
      </c>
    </row>
    <row r="17" spans="2:6">
      <c r="B17" s="35" t="s">
        <v>1045</v>
      </c>
      <c r="C17" s="1" t="s">
        <v>1070</v>
      </c>
      <c r="D17" s="1">
        <v>1</v>
      </c>
      <c r="E17" s="42">
        <v>199</v>
      </c>
      <c r="F17" s="1">
        <f t="shared" si="0"/>
        <v>199</v>
      </c>
    </row>
    <row r="18" spans="2:6">
      <c r="B18" s="35" t="s">
        <v>1045</v>
      </c>
      <c r="C18" s="1" t="s">
        <v>1071</v>
      </c>
      <c r="D18" s="1">
        <v>3</v>
      </c>
      <c r="E18" s="42">
        <v>18.5</v>
      </c>
      <c r="F18" s="1">
        <f t="shared" si="0"/>
        <v>55.5</v>
      </c>
    </row>
    <row r="19" spans="2:6">
      <c r="B19" s="35" t="s">
        <v>1045</v>
      </c>
      <c r="C19" s="1" t="s">
        <v>1072</v>
      </c>
      <c r="D19" s="1">
        <v>1</v>
      </c>
      <c r="E19" s="42">
        <v>14.99</v>
      </c>
      <c r="F19" s="1">
        <f t="shared" si="0"/>
        <v>14.99</v>
      </c>
    </row>
    <row r="20" spans="2:6">
      <c r="B20" s="35" t="s">
        <v>1047</v>
      </c>
      <c r="C20" s="1" t="s">
        <v>1073</v>
      </c>
      <c r="D20" s="1">
        <v>2</v>
      </c>
      <c r="E20" s="42">
        <v>49.99</v>
      </c>
      <c r="F20" s="1">
        <f t="shared" si="0"/>
        <v>99.98</v>
      </c>
    </row>
    <row r="21" spans="2:6">
      <c r="B21" s="35" t="s">
        <v>1047</v>
      </c>
      <c r="C21" s="1" t="s">
        <v>1074</v>
      </c>
      <c r="D21" s="1">
        <v>1</v>
      </c>
      <c r="E21" s="42">
        <v>14.99</v>
      </c>
      <c r="F21" s="1">
        <f t="shared" si="0"/>
        <v>14.99</v>
      </c>
    </row>
    <row r="22" spans="2:6">
      <c r="B22" s="46" t="s">
        <v>1047</v>
      </c>
      <c r="C22" s="40" t="s">
        <v>1075</v>
      </c>
      <c r="D22" s="40">
        <v>1</v>
      </c>
      <c r="E22" s="39">
        <v>22.99</v>
      </c>
      <c r="F22" s="40">
        <f t="shared" si="0"/>
        <v>22.99</v>
      </c>
    </row>
    <row r="23" spans="2:6">
      <c r="B23" s="43" t="s">
        <v>1058</v>
      </c>
      <c r="C23" s="44"/>
      <c r="D23" s="45">
        <f>SUM(D3:D22)</f>
        <v>35</v>
      </c>
      <c r="E23" s="45">
        <f t="shared" ref="E23:F23" si="1">SUM(E3:E22)</f>
        <v>793.33000000000015</v>
      </c>
      <c r="F23" s="45">
        <f t="shared" si="1"/>
        <v>1229.7200000000003</v>
      </c>
    </row>
    <row r="24" spans="2:6">
      <c r="B24" t="s">
        <v>1013</v>
      </c>
    </row>
    <row r="25" spans="2:6">
      <c r="B25" t="s">
        <v>1005</v>
      </c>
    </row>
    <row r="26" spans="2:6">
      <c r="B26" t="s">
        <v>1006</v>
      </c>
    </row>
    <row r="27" spans="2:6">
      <c r="B27" t="s">
        <v>1014</v>
      </c>
    </row>
    <row r="28" spans="2:6">
      <c r="B28" t="s">
        <v>1007</v>
      </c>
    </row>
    <row r="29" spans="2:6">
      <c r="B29" t="s">
        <v>1008</v>
      </c>
    </row>
    <row r="30" spans="2:6">
      <c r="B30" t="s">
        <v>1015</v>
      </c>
    </row>
    <row r="31" spans="2:6">
      <c r="B31" t="s">
        <v>1009</v>
      </c>
    </row>
    <row r="32" spans="2:6">
      <c r="B32" t="s">
        <v>1010</v>
      </c>
    </row>
    <row r="33" spans="2:2">
      <c r="B33" t="s">
        <v>1016</v>
      </c>
    </row>
    <row r="34" spans="2:2">
      <c r="B34" t="s">
        <v>1011</v>
      </c>
    </row>
    <row r="35" spans="2:2">
      <c r="B35" t="s">
        <v>1012</v>
      </c>
    </row>
    <row r="36" spans="2:2">
      <c r="B36" t="s">
        <v>1017</v>
      </c>
    </row>
  </sheetData>
  <mergeCells count="1">
    <mergeCell ref="B23:C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045083-7A3D-4B34-BF24-DD29F71F8D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Vlookup</vt:lpstr>
      <vt:lpstr>VlookupExactMatch</vt:lpstr>
      <vt:lpstr>VlookupApproximateMatch</vt:lpstr>
      <vt:lpstr>textfunc</vt:lpstr>
      <vt:lpstr>txtExtraction&amp;JoiningFunc</vt:lpstr>
      <vt:lpstr>Offset</vt:lpstr>
      <vt:lpstr>Index</vt:lpstr>
      <vt:lpstr>Index&amp;Match</vt:lpstr>
      <vt:lpstr>AggregationFunction</vt:lpstr>
      <vt:lpstr>PivotTable</vt:lpstr>
      <vt:lpstr>IfElseChooseFunc</vt:lpstr>
      <vt:lpstr>RemoveDuplicates</vt:lpstr>
      <vt:lpstr>arbor_excel_salesdatajunepo (2)</vt:lpstr>
      <vt:lpstr>AppendJune&amp;July</vt:lpstr>
      <vt:lpstr>arbor_excel_salesdatajulypowerq</vt:lpstr>
      <vt:lpstr>GetDataFromWeb</vt:lpstr>
      <vt:lpstr>powerquery</vt:lpstr>
      <vt:lpstr>powerpivot</vt:lpstr>
      <vt:lpstr>dashboard</vt:lpstr>
      <vt:lpstr>macro40records</vt:lpstr>
      <vt:lpstr>macrp20records</vt:lpstr>
      <vt:lpstr>macro20records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ANUSHREE KASHYAP</dc:creator>
  <cp:lastModifiedBy>ANUSHREE KASHYAP</cp:lastModifiedBy>
  <dcterms:created xsi:type="dcterms:W3CDTF">2025-09-19T17:30:36Z</dcterms:created>
  <dcterms:modified xsi:type="dcterms:W3CDTF">2025-10-07T17:37:13Z</dcterms:modified>
</cp:coreProperties>
</file>