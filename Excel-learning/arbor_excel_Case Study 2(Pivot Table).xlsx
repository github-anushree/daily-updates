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C91F6DAE-1855-46CE-9375-B0599F017708}" xr6:coauthVersionLast="47" xr6:coauthVersionMax="47" xr10:uidLastSave="{00000000-0000-0000-0000-000000000000}"/>
  <bookViews>
    <workbookView xWindow="-108" yWindow="-108" windowWidth="23256" windowHeight="12456" firstSheet="1" activeTab="15" xr2:uid="{3C2F27DB-59A7-4E77-BCCC-EA28361B83B3}"/>
  </bookViews>
  <sheets>
    <sheet name="Data" sheetId="1" r:id="rId1"/>
    <sheet name="Case Study " sheetId="2" r:id="rId2"/>
    <sheet name="Q1" sheetId="4" r:id="rId3"/>
    <sheet name="Q2" sheetId="3" r:id="rId4"/>
    <sheet name="Q3" sheetId="5" r:id="rId5"/>
    <sheet name="Q4" sheetId="6" r:id="rId6"/>
    <sheet name="Q5" sheetId="7" r:id="rId7"/>
    <sheet name="Q6" sheetId="8" r:id="rId8"/>
    <sheet name="Q7" sheetId="9" r:id="rId9"/>
    <sheet name="Q8" sheetId="10" r:id="rId10"/>
    <sheet name="Q9" sheetId="11" r:id="rId11"/>
    <sheet name="Q10" sheetId="12" r:id="rId12"/>
    <sheet name="Q12" sheetId="13" r:id="rId13"/>
    <sheet name="Q13" sheetId="14" r:id="rId14"/>
    <sheet name="Q14" sheetId="15" r:id="rId15"/>
    <sheet name="Q15" sheetId="16" r:id="rId16"/>
  </sheets>
  <definedNames>
    <definedName name="_xlcn.WorksheetConnection_arbor_excel_CaseStudy2PivotTable.xlsxsalesdata1" hidden="1">SalesData[]</definedName>
  </definedNames>
  <calcPr calcId="191029"/>
  <pivotCaches>
    <pivotCache cacheId="0" r:id="rId17"/>
    <pivotCache cacheId="51" r:id="rId18"/>
    <pivotCache cacheId="24" r:id="rId19"/>
    <pivotCache cacheId="44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data" name="salesdata" connection="WorksheetConnection_arbor_excel_Case Study 2(Pivot Table).xlsx!sales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2E3E17-7B58-428D-8001-0F43AFB77A7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B326FB7-429C-49DB-9F28-CC7162298A16}" name="WorksheetConnection_arbor_excel_Case Study 2(Pivot Table).xlsx!salesdata" type="102" refreshedVersion="8" minRefreshableVersion="5">
    <extLst>
      <ext xmlns:x15="http://schemas.microsoft.com/office/spreadsheetml/2010/11/main" uri="{DE250136-89BD-433C-8126-D09CA5730AF9}">
        <x15:connection id="salesdata" autoDelete="1">
          <x15:rangePr sourceName="_xlcn.WorksheetConnection_arbor_excel_CaseStudy2PivotTable.xlsxsales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salesdata].[Region].&amp;[America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<sst xmlns="http://schemas.openxmlformats.org/spreadsheetml/2006/main" count="788" uniqueCount="69">
  <si>
    <t>Company</t>
  </si>
  <si>
    <t>Company Name</t>
  </si>
  <si>
    <t>Region</t>
  </si>
  <si>
    <t>Sales Document</t>
  </si>
  <si>
    <t>Document Date</t>
  </si>
  <si>
    <t>Customer Code</t>
  </si>
  <si>
    <t>Customer Name</t>
  </si>
  <si>
    <t>Product Code</t>
  </si>
  <si>
    <t>Product Description</t>
  </si>
  <si>
    <t>Quantity</t>
  </si>
  <si>
    <t>Sales USD</t>
  </si>
  <si>
    <t>1010US</t>
  </si>
  <si>
    <t>Urban Right</t>
  </si>
  <si>
    <t>America</t>
  </si>
  <si>
    <t>Dellicia</t>
  </si>
  <si>
    <t>Women type T simple white</t>
  </si>
  <si>
    <t>What is the total sales for the company 'Urban Right' in America?</t>
  </si>
  <si>
    <t>Women type T simple black</t>
  </si>
  <si>
    <t>How many unique products were sold by 'Urban Right' in America?</t>
  </si>
  <si>
    <t>What is the total quantity sold for 'Women type T simple white' by 'Dellicia'?</t>
  </si>
  <si>
    <t>What is the average quantity sold per sales document for each customer?</t>
  </si>
  <si>
    <t>Erma</t>
  </si>
  <si>
    <t>What is the total sales for 'Women crop top black' in June 2020?</t>
  </si>
  <si>
    <t>Who made the highest total sales for the company 'Urban Right' in June 2020?</t>
  </si>
  <si>
    <t>Women crop top black</t>
  </si>
  <si>
    <t>What is the total sales for each product category in the dataset?</t>
  </si>
  <si>
    <t>What is the average sales per sales document for each product?</t>
  </si>
  <si>
    <t>How many sales documents were recorded for each customer?</t>
  </si>
  <si>
    <t>What is the average quantity sold per product for each customer?</t>
  </si>
  <si>
    <t>What is the total sales for each day in June 2020?</t>
  </si>
  <si>
    <t>Women basics</t>
  </si>
  <si>
    <t>Who made the highest total sales in a single sales document?</t>
  </si>
  <si>
    <t>What is the total quantity sold for each product by 'Erma'?</t>
  </si>
  <si>
    <t>What is the average sales per sales document for 'Urban Right' in June 2020?</t>
  </si>
  <si>
    <t>What is the total quantity sold for each product category in America?</t>
  </si>
  <si>
    <t>Row Labels</t>
  </si>
  <si>
    <t>Sum of Sales USD</t>
  </si>
  <si>
    <t>Grand Total</t>
  </si>
  <si>
    <t>1020US</t>
  </si>
  <si>
    <t>Meta Creations</t>
  </si>
  <si>
    <t>Men type T simple white</t>
  </si>
  <si>
    <t>Men type T simple black</t>
  </si>
  <si>
    <t>Men basics</t>
  </si>
  <si>
    <t>Laptop bag black</t>
  </si>
  <si>
    <t>Men dress shirt black</t>
  </si>
  <si>
    <t>Men dress shirt grey</t>
  </si>
  <si>
    <t>Men shorts grey</t>
  </si>
  <si>
    <t>Men shorts black</t>
  </si>
  <si>
    <t>Unisex tank top white</t>
  </si>
  <si>
    <t>1040DE</t>
  </si>
  <si>
    <t>Lucas Basics</t>
  </si>
  <si>
    <t>Europe</t>
  </si>
  <si>
    <t>Liebher</t>
  </si>
  <si>
    <t>Laptop bag red</t>
  </si>
  <si>
    <t>Aida GmbH</t>
  </si>
  <si>
    <t>Smartphone case diamond</t>
  </si>
  <si>
    <t>Smartphone case simple</t>
  </si>
  <si>
    <t>Total Sales</t>
  </si>
  <si>
    <t>Sum of Total Sales</t>
  </si>
  <si>
    <t>(All)</t>
  </si>
  <si>
    <t>Count of Product Code</t>
  </si>
  <si>
    <t>Sum of Quantity</t>
  </si>
  <si>
    <t>Average of Quantity</t>
  </si>
  <si>
    <t>Average of Total Sales</t>
  </si>
  <si>
    <t>Sum of Sales Document</t>
  </si>
  <si>
    <t>Count of Sales Document</t>
  </si>
  <si>
    <t>Average of Sales USD</t>
  </si>
  <si>
    <t>Max of Sales USD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</si>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</sst>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981B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4">
    <xf numFmtId="0" fontId="0" fillId="0" borderId="0" xfId="0"/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 wrapText="1"/>
    </xf>
    <xf numFmtId="0" fontId="1" fillId="2" borderId="3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 indent="1"/>
    </xf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0" xfId="0" applyNumberFormat="1" applyFill="1"/>
  </cellXfs>
  <cellStyles count="2">
    <cellStyle name="Heading 1 2" xfId="1" xr:uid="{B1476517-8384-4BE4-9D5E-6902BBA44473}"/>
    <cellStyle name="Normal" xfId="0" builtinId="0"/>
  </cellStyles>
  <dxfs count="1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5A1C2EE-3176-4765-AECC-E38C0F67F1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ps\Downloads\Extra%20Tast%20Excel%20Practice%20Sheet%20%20-%202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Wavhal" refreshedDate="45307.414338194445" createdVersion="8" refreshedVersion="8" minRefreshableVersion="3" recordCount="105" xr:uid="{A9DC3703-2EFA-46A4-8F08-118A53EEA852}">
  <cacheSource type="worksheet">
    <worksheetSource name="TSales2" r:id="rId2"/>
  </cacheSource>
  <cacheFields count="11">
    <cacheField name="Company" numFmtId="0">
      <sharedItems count="3">
        <s v="1010US"/>
        <s v="1020US"/>
        <s v="1040DE"/>
      </sharedItems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/>
    </cacheField>
    <cacheField name="Document Date" numFmtId="1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/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28.925928124998" createdVersion="8" refreshedVersion="8" minRefreshableVersion="3" recordCount="105" xr:uid="{F672A95D-37DE-4D67-88D2-3857D7DBE429}">
  <cacheSource type="worksheet">
    <worksheetSource name="salesdata"/>
  </cacheSource>
  <cacheFields count="11">
    <cacheField name="Company" numFmtId="0">
      <sharedItems/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 count="38">
        <n v="66030"/>
        <n v="66032"/>
        <n v="66031"/>
        <n v="68112"/>
        <n v="68116"/>
        <n v="65662"/>
        <n v="65666"/>
        <n v="66015"/>
        <n v="66017"/>
        <n v="66016"/>
        <n v="68097"/>
        <n v="68099"/>
        <n v="68101"/>
        <n v="65627"/>
        <n v="65629"/>
        <n v="65631"/>
        <n v="24030"/>
        <n v="24031"/>
        <n v="28112"/>
        <n v="25442"/>
        <n v="44030"/>
        <n v="44032"/>
        <n v="44031"/>
        <n v="48112"/>
        <n v="48114"/>
        <n v="48116"/>
        <n v="45442"/>
        <n v="45444"/>
        <n v="45446"/>
        <n v="44015"/>
        <n v="44017"/>
        <n v="44016"/>
        <n v="48097"/>
        <n v="48099"/>
        <n v="48101"/>
        <n v="45427"/>
        <n v="45429"/>
        <n v="45431"/>
      </sharedItems>
    </cacheField>
    <cacheField name="Document Date" numFmtId="164">
      <sharedItems containsSemiMixedTypes="0" containsNonDate="0" containsDate="1" containsString="0" minDate="2020-06-01T00:00:00" maxDate="2020-07-01T00:00:00"/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 count="4">
        <s v="Dellicia"/>
        <s v="Erma"/>
        <s v="Liebher"/>
        <s v="Aida GmbH"/>
      </sharedItems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28.93271238426" backgroundQuery="1" createdVersion="8" refreshedVersion="8" minRefreshableVersion="3" recordCount="0" supportSubquery="1" supportAdvancedDrill="1" xr:uid="{78027487-AB19-40BB-9359-CA13B91AF9E6}">
  <cacheSource type="external" connectionId="1"/>
  <cacheFields count="3">
    <cacheField name="[salesdata].[Company Name].[Company Name]" caption="Company Name" numFmtId="0" hierarchy="1" level="1">
      <sharedItems count="1">
        <s v="Urban Right"/>
      </sharedItems>
    </cacheField>
    <cacheField name="[Measures].[Sum of Total Sales]" caption="Sum of Total Sales" numFmtId="0" hierarchy="14" level="32767"/>
    <cacheField name="[salesdata].[Region].[Region]" caption="Region" numFmtId="0" hierarchy="2" level="1">
      <sharedItems containsSemiMixedTypes="0" containsNonDate="0" containsString="0"/>
    </cacheField>
  </cacheFields>
  <cacheHierarchies count="15">
    <cacheHierarchy uniqueName="[salesdata].[Company]" caption="Company" attribute="1" defaultMemberUniqueName="[salesdata].[Company].[All]" allUniqueName="[salesdata].[Company].[All]" dimensionUniqueName="[salesdata]" displayFolder="" count="0" memberValueDatatype="130" unbalanced="0"/>
    <cacheHierarchy uniqueName="[salesdata].[Company Name]" caption="Company Name" attribute="1" defaultMemberUniqueName="[salesdata].[Company Name].[All]" allUniqueName="[salesdata].[Company Name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Region]" caption="Region" attribute="1" defaultMemberUniqueName="[salesdata].[Region].[All]" allUniqueName="[salesdata].[Region].[All]" dimensionUniqueName="[salesdata]" displayFolder="" count="2" memberValueDatatype="130" unbalanced="0">
      <fieldsUsage count="2">
        <fieldUsage x="-1"/>
        <fieldUsage x="2"/>
      </fieldsUsage>
    </cacheHierarchy>
    <cacheHierarchy uniqueName="[salesdata].[Sales Document]" caption="Sales Document" attribute="1" defaultMemberUniqueName="[salesdata].[Sales Document].[All]" allUniqueName="[salesdata].[Sales Document].[All]" dimensionUniqueName="[salesdata]" displayFolder="" count="0" memberValueDatatype="20" unbalanced="0"/>
    <cacheHierarchy uniqueName="[salesdata].[Document Date]" caption="Document Date" attribute="1" time="1" defaultMemberUniqueName="[salesdata].[Document Date].[All]" allUniqueName="[salesdata].[Document Date].[All]" dimensionUniqueName="[salesdata]" displayFolder="" count="0" memberValueDatatype="7" unbalanced="0"/>
    <cacheHierarchy uniqueName="[salesdata].[Customer Code]" caption="Customer Code" attribute="1" defaultMemberUniqueName="[salesdata].[Customer Code].[All]" allUniqueName="[salesdata].[Customer Code].[All]" dimensionUniqueName="[salesdata]" displayFolder="" count="0" memberValueDatatype="20" unbalanced="0"/>
    <cacheHierarchy uniqueName="[salesdata].[Customer Name]" caption="Customer Name" attribute="1" defaultMemberUniqueName="[salesdata].[Customer Name].[All]" allUniqueName="[salesdata].[Customer Name].[All]" dimensionUniqueName="[salesdata]" displayFolder="" count="0" memberValueDatatype="130" unbalanced="0"/>
    <cacheHierarchy uniqueName="[salesdata].[Product Code]" caption="Product Code" attribute="1" defaultMemberUniqueName="[salesdata].[Product Code].[All]" allUniqueName="[salesdata].[Product Code].[All]" dimensionUniqueName="[salesdata]" displayFolder="" count="0" memberValueDatatype="20" unbalanced="0"/>
    <cacheHierarchy uniqueName="[salesdata].[Product Description]" caption="Product Description" attribute="1" defaultMemberUniqueName="[salesdata].[Product Description].[All]" allUniqueName="[salesdata].[Product Description].[All]" dimensionUniqueName="[salesdata]" displayFolder="" count="0" memberValueDatatype="130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Sales USD]" caption="Sales USD" attribute="1" defaultMemberUniqueName="[salesdata].[Sales USD].[All]" allUniqueName="[salesdata].[Sales USD].[All]" dimensionUniqueName="[salesdata]" displayFolder="" count="0" memberValueDatatype="20" unbalanced="0"/>
    <cacheHierarchy uniqueName="[salesdata].[Total Sales]" caption="Total Sales" attribute="1" defaultMemberUniqueName="[salesdata].[Total Sales].[All]" allUniqueName="[salesdata].[Total Sales].[All]" dimensionUniqueName="[salesdata]" displayFolder="" count="0" memberValueDatatype="20" unbalanced="0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sale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28.950104398151" createdVersion="8" refreshedVersion="8" minRefreshableVersion="3" recordCount="105" xr:uid="{AFC3D43C-210D-43E9-BBAE-494A53170CA1}">
  <cacheSource type="worksheet">
    <worksheetSource name="SalesData[[Company Name]:[Total Sales]]"/>
  </cacheSource>
  <cacheFields count="11"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 count="38">
        <n v="66030"/>
        <n v="66032"/>
        <n v="66031"/>
        <n v="68112"/>
        <n v="68116"/>
        <n v="65662"/>
        <n v="65666"/>
        <n v="66015"/>
        <n v="66017"/>
        <n v="66016"/>
        <n v="68097"/>
        <n v="68099"/>
        <n v="68101"/>
        <n v="65627"/>
        <n v="65629"/>
        <n v="65631"/>
        <n v="24030"/>
        <n v="24031"/>
        <n v="28112"/>
        <n v="25442"/>
        <n v="44030"/>
        <n v="44032"/>
        <n v="44031"/>
        <n v="48112"/>
        <n v="48114"/>
        <n v="48116"/>
        <n v="45442"/>
        <n v="45444"/>
        <n v="45446"/>
        <n v="44015"/>
        <n v="44017"/>
        <n v="44016"/>
        <n v="48097"/>
        <n v="48099"/>
        <n v="48101"/>
        <n v="45427"/>
        <n v="45429"/>
        <n v="45431"/>
      </sharedItems>
    </cacheField>
    <cacheField name="Document Date" numFmtId="164">
      <sharedItems containsSemiMixedTypes="0" containsNonDate="0" containsDate="1" containsString="0" minDate="2020-06-01T00:00:00" maxDate="2020-07-01T00:00:00"/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 count="4">
        <s v="Dellicia"/>
        <s v="Erma"/>
        <s v="Liebher"/>
        <s v="Aida GmbH"/>
      </sharedItems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  <cacheField name="Total Sales" numFmtId="0">
      <sharedItems containsSemiMixedTypes="0" containsString="0" containsNumber="1" containsInteger="1" minValue="1200" maxValue="4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n v="66030"/>
    <x v="0"/>
    <n v="8010"/>
    <s v="Dellicia"/>
    <n v="103"/>
    <x v="0"/>
    <n v="120"/>
    <n v="1440"/>
  </r>
  <r>
    <x v="0"/>
    <x v="0"/>
    <x v="0"/>
    <n v="66030"/>
    <x v="1"/>
    <n v="8010"/>
    <s v="Dellicia"/>
    <n v="104"/>
    <x v="1"/>
    <n v="150"/>
    <n v="1800"/>
  </r>
  <r>
    <x v="0"/>
    <x v="0"/>
    <x v="0"/>
    <n v="66032"/>
    <x v="0"/>
    <n v="8010"/>
    <s v="Dellicia"/>
    <n v="103"/>
    <x v="0"/>
    <n v="170"/>
    <n v="2040"/>
  </r>
  <r>
    <x v="0"/>
    <x v="0"/>
    <x v="0"/>
    <n v="66032"/>
    <x v="1"/>
    <n v="8010"/>
    <s v="Dellicia"/>
    <n v="104"/>
    <x v="1"/>
    <n v="140"/>
    <n v="1680"/>
  </r>
  <r>
    <x v="0"/>
    <x v="0"/>
    <x v="0"/>
    <n v="66031"/>
    <x v="0"/>
    <n v="8020"/>
    <s v="Erma"/>
    <n v="103"/>
    <x v="0"/>
    <n v="140"/>
    <n v="1680"/>
  </r>
  <r>
    <x v="0"/>
    <x v="0"/>
    <x v="0"/>
    <n v="66031"/>
    <x v="1"/>
    <n v="8020"/>
    <s v="Erma"/>
    <n v="104"/>
    <x v="1"/>
    <n v="150"/>
    <n v="1800"/>
  </r>
  <r>
    <x v="0"/>
    <x v="0"/>
    <x v="0"/>
    <n v="66031"/>
    <x v="2"/>
    <n v="8020"/>
    <s v="Erma"/>
    <n v="105"/>
    <x v="2"/>
    <n v="100"/>
    <n v="1000"/>
  </r>
  <r>
    <x v="0"/>
    <x v="0"/>
    <x v="0"/>
    <n v="68112"/>
    <x v="3"/>
    <n v="8010"/>
    <s v="Dellicia"/>
    <n v="104"/>
    <x v="1"/>
    <n v="180"/>
    <n v="2160"/>
  </r>
  <r>
    <x v="0"/>
    <x v="0"/>
    <x v="0"/>
    <n v="68112"/>
    <x v="4"/>
    <n v="8010"/>
    <s v="Dellicia"/>
    <n v="105"/>
    <x v="2"/>
    <n v="120"/>
    <n v="1200"/>
  </r>
  <r>
    <x v="0"/>
    <x v="0"/>
    <x v="0"/>
    <n v="68116"/>
    <x v="5"/>
    <n v="8020"/>
    <s v="Erma"/>
    <n v="104"/>
    <x v="1"/>
    <n v="150"/>
    <n v="1800"/>
  </r>
  <r>
    <x v="0"/>
    <x v="0"/>
    <x v="0"/>
    <n v="68116"/>
    <x v="6"/>
    <n v="8020"/>
    <s v="Erma"/>
    <n v="105"/>
    <x v="2"/>
    <n v="190"/>
    <n v="1900"/>
  </r>
  <r>
    <x v="0"/>
    <x v="0"/>
    <x v="0"/>
    <n v="68116"/>
    <x v="7"/>
    <n v="8020"/>
    <s v="Erma"/>
    <n v="107"/>
    <x v="3"/>
    <n v="160"/>
    <n v="800"/>
  </r>
  <r>
    <x v="0"/>
    <x v="0"/>
    <x v="0"/>
    <n v="68116"/>
    <x v="8"/>
    <n v="8010"/>
    <s v="Dellicia"/>
    <n v="104"/>
    <x v="1"/>
    <n v="160"/>
    <n v="1920"/>
  </r>
  <r>
    <x v="0"/>
    <x v="0"/>
    <x v="0"/>
    <n v="68116"/>
    <x v="9"/>
    <n v="8010"/>
    <s v="Dellicia"/>
    <n v="105"/>
    <x v="2"/>
    <n v="190"/>
    <n v="1900"/>
  </r>
  <r>
    <x v="0"/>
    <x v="0"/>
    <x v="0"/>
    <n v="65662"/>
    <x v="10"/>
    <n v="8020"/>
    <s v="Erma"/>
    <n v="103"/>
    <x v="0"/>
    <n v="120"/>
    <n v="1440"/>
  </r>
  <r>
    <x v="0"/>
    <x v="0"/>
    <x v="0"/>
    <n v="65662"/>
    <x v="11"/>
    <n v="8020"/>
    <s v="Erma"/>
    <n v="104"/>
    <x v="1"/>
    <n v="110"/>
    <n v="1320"/>
  </r>
  <r>
    <x v="0"/>
    <x v="0"/>
    <x v="0"/>
    <n v="65666"/>
    <x v="1"/>
    <n v="8010"/>
    <s v="Dellicia"/>
    <n v="103"/>
    <x v="0"/>
    <n v="120"/>
    <n v="1440"/>
  </r>
  <r>
    <x v="0"/>
    <x v="0"/>
    <x v="0"/>
    <n v="65666"/>
    <x v="12"/>
    <n v="8010"/>
    <s v="Dellicia"/>
    <n v="104"/>
    <x v="1"/>
    <n v="140"/>
    <n v="1680"/>
  </r>
  <r>
    <x v="0"/>
    <x v="0"/>
    <x v="0"/>
    <n v="65666"/>
    <x v="13"/>
    <n v="8010"/>
    <s v="Dellicia"/>
    <n v="105"/>
    <x v="2"/>
    <n v="160"/>
    <n v="1600"/>
  </r>
  <r>
    <x v="0"/>
    <x v="0"/>
    <x v="0"/>
    <n v="65666"/>
    <x v="14"/>
    <n v="8020"/>
    <s v="Erma"/>
    <n v="107"/>
    <x v="3"/>
    <n v="120"/>
    <n v="600"/>
  </r>
  <r>
    <x v="0"/>
    <x v="0"/>
    <x v="0"/>
    <n v="65666"/>
    <x v="15"/>
    <n v="8020"/>
    <s v="Erma"/>
    <n v="103"/>
    <x v="0"/>
    <n v="200"/>
    <n v="2400"/>
  </r>
  <r>
    <x v="0"/>
    <x v="0"/>
    <x v="0"/>
    <n v="66015"/>
    <x v="5"/>
    <n v="8010"/>
    <s v="Dellicia"/>
    <n v="103"/>
    <x v="0"/>
    <n v="140"/>
    <n v="1680"/>
  </r>
  <r>
    <x v="0"/>
    <x v="0"/>
    <x v="0"/>
    <n v="66015"/>
    <x v="6"/>
    <n v="8010"/>
    <s v="Dellicia"/>
    <n v="104"/>
    <x v="1"/>
    <n v="140"/>
    <n v="1680"/>
  </r>
  <r>
    <x v="0"/>
    <x v="0"/>
    <x v="0"/>
    <n v="66017"/>
    <x v="7"/>
    <n v="8010"/>
    <s v="Dellicia"/>
    <n v="103"/>
    <x v="0"/>
    <n v="140"/>
    <n v="1680"/>
  </r>
  <r>
    <x v="0"/>
    <x v="0"/>
    <x v="0"/>
    <n v="66017"/>
    <x v="8"/>
    <n v="8010"/>
    <s v="Dellicia"/>
    <n v="104"/>
    <x v="1"/>
    <n v="140"/>
    <n v="1680"/>
  </r>
  <r>
    <x v="0"/>
    <x v="0"/>
    <x v="0"/>
    <n v="66016"/>
    <x v="9"/>
    <n v="8020"/>
    <s v="Erma"/>
    <n v="103"/>
    <x v="0"/>
    <n v="120"/>
    <n v="1440"/>
  </r>
  <r>
    <x v="0"/>
    <x v="0"/>
    <x v="0"/>
    <n v="66016"/>
    <x v="10"/>
    <n v="8020"/>
    <s v="Erma"/>
    <n v="104"/>
    <x v="1"/>
    <n v="130"/>
    <n v="1560"/>
  </r>
  <r>
    <x v="0"/>
    <x v="0"/>
    <x v="0"/>
    <n v="66016"/>
    <x v="11"/>
    <n v="8020"/>
    <s v="Erma"/>
    <n v="105"/>
    <x v="2"/>
    <n v="120"/>
    <n v="1200"/>
  </r>
  <r>
    <x v="0"/>
    <x v="0"/>
    <x v="0"/>
    <n v="68097"/>
    <x v="16"/>
    <n v="8010"/>
    <s v="Dellicia"/>
    <n v="104"/>
    <x v="1"/>
    <n v="140"/>
    <n v="1680"/>
  </r>
  <r>
    <x v="0"/>
    <x v="0"/>
    <x v="0"/>
    <n v="68097"/>
    <x v="17"/>
    <n v="8010"/>
    <s v="Dellicia"/>
    <n v="105"/>
    <x v="2"/>
    <n v="130"/>
    <n v="1300"/>
  </r>
  <r>
    <x v="0"/>
    <x v="0"/>
    <x v="0"/>
    <n v="68099"/>
    <x v="18"/>
    <n v="8020"/>
    <s v="Erma"/>
    <n v="104"/>
    <x v="1"/>
    <n v="120"/>
    <n v="1440"/>
  </r>
  <r>
    <x v="0"/>
    <x v="0"/>
    <x v="0"/>
    <n v="68099"/>
    <x v="19"/>
    <n v="8020"/>
    <s v="Erma"/>
    <n v="105"/>
    <x v="2"/>
    <n v="140"/>
    <n v="1400"/>
  </r>
  <r>
    <x v="0"/>
    <x v="0"/>
    <x v="0"/>
    <n v="68099"/>
    <x v="20"/>
    <n v="8020"/>
    <s v="Erma"/>
    <n v="107"/>
    <x v="3"/>
    <n v="170"/>
    <n v="850"/>
  </r>
  <r>
    <x v="0"/>
    <x v="0"/>
    <x v="0"/>
    <n v="68101"/>
    <x v="10"/>
    <n v="8010"/>
    <s v="Dellicia"/>
    <n v="104"/>
    <x v="1"/>
    <n v="190"/>
    <n v="2280"/>
  </r>
  <r>
    <x v="0"/>
    <x v="0"/>
    <x v="0"/>
    <n v="68101"/>
    <x v="11"/>
    <n v="8010"/>
    <s v="Dellicia"/>
    <n v="105"/>
    <x v="2"/>
    <n v="140"/>
    <n v="1400"/>
  </r>
  <r>
    <x v="0"/>
    <x v="0"/>
    <x v="0"/>
    <n v="65627"/>
    <x v="16"/>
    <n v="8020"/>
    <s v="Erma"/>
    <n v="103"/>
    <x v="0"/>
    <n v="140"/>
    <n v="1680"/>
  </r>
  <r>
    <x v="0"/>
    <x v="0"/>
    <x v="0"/>
    <n v="65627"/>
    <x v="17"/>
    <n v="8020"/>
    <s v="Erma"/>
    <n v="104"/>
    <x v="1"/>
    <n v="160"/>
    <n v="1920"/>
  </r>
  <r>
    <x v="0"/>
    <x v="0"/>
    <x v="0"/>
    <n v="65629"/>
    <x v="18"/>
    <n v="8010"/>
    <s v="Dellicia"/>
    <n v="103"/>
    <x v="0"/>
    <n v="190"/>
    <n v="2280"/>
  </r>
  <r>
    <x v="0"/>
    <x v="0"/>
    <x v="0"/>
    <n v="65629"/>
    <x v="19"/>
    <n v="8010"/>
    <s v="Dellicia"/>
    <n v="104"/>
    <x v="1"/>
    <n v="130"/>
    <n v="1560"/>
  </r>
  <r>
    <x v="0"/>
    <x v="0"/>
    <x v="0"/>
    <n v="65629"/>
    <x v="20"/>
    <n v="8010"/>
    <s v="Dellicia"/>
    <n v="105"/>
    <x v="2"/>
    <n v="140"/>
    <n v="1400"/>
  </r>
  <r>
    <x v="0"/>
    <x v="0"/>
    <x v="0"/>
    <n v="65631"/>
    <x v="21"/>
    <n v="8020"/>
    <s v="Erma"/>
    <n v="107"/>
    <x v="3"/>
    <n v="190"/>
    <n v="950"/>
  </r>
  <r>
    <x v="0"/>
    <x v="0"/>
    <x v="0"/>
    <n v="65631"/>
    <x v="22"/>
    <n v="8020"/>
    <s v="Erma"/>
    <n v="103"/>
    <x v="0"/>
    <n v="120"/>
    <n v="1440"/>
  </r>
  <r>
    <x v="1"/>
    <x v="1"/>
    <x v="0"/>
    <n v="24030"/>
    <x v="0"/>
    <n v="8020"/>
    <s v="Erma"/>
    <n v="101"/>
    <x v="4"/>
    <n v="130"/>
    <n v="1560"/>
  </r>
  <r>
    <x v="1"/>
    <x v="1"/>
    <x v="0"/>
    <n v="24030"/>
    <x v="1"/>
    <n v="8020"/>
    <s v="Erma"/>
    <n v="102"/>
    <x v="5"/>
    <n v="30"/>
    <n v="360"/>
  </r>
  <r>
    <x v="1"/>
    <x v="1"/>
    <x v="0"/>
    <n v="24030"/>
    <x v="12"/>
    <n v="8020"/>
    <s v="Erma"/>
    <n v="106"/>
    <x v="6"/>
    <n v="60"/>
    <n v="300"/>
  </r>
  <r>
    <x v="1"/>
    <x v="1"/>
    <x v="0"/>
    <n v="24030"/>
    <x v="13"/>
    <n v="8020"/>
    <s v="Erma"/>
    <n v="108"/>
    <x v="7"/>
    <n v="80"/>
    <n v="2240"/>
  </r>
  <r>
    <x v="1"/>
    <x v="1"/>
    <x v="0"/>
    <n v="24031"/>
    <x v="14"/>
    <n v="8020"/>
    <s v="Erma"/>
    <n v="101"/>
    <x v="4"/>
    <n v="100"/>
    <n v="1200"/>
  </r>
  <r>
    <x v="1"/>
    <x v="1"/>
    <x v="0"/>
    <n v="24031"/>
    <x v="15"/>
    <n v="8020"/>
    <s v="Erma"/>
    <n v="108"/>
    <x v="7"/>
    <n v="20"/>
    <n v="560"/>
  </r>
  <r>
    <x v="1"/>
    <x v="1"/>
    <x v="0"/>
    <n v="24031"/>
    <x v="2"/>
    <n v="8020"/>
    <s v="Erma"/>
    <n v="113"/>
    <x v="8"/>
    <n v="100"/>
    <n v="2500"/>
  </r>
  <r>
    <x v="1"/>
    <x v="1"/>
    <x v="0"/>
    <n v="28112"/>
    <x v="3"/>
    <n v="8020"/>
    <s v="Erma"/>
    <n v="114"/>
    <x v="9"/>
    <n v="50"/>
    <n v="1250"/>
  </r>
  <r>
    <x v="1"/>
    <x v="1"/>
    <x v="0"/>
    <n v="28112"/>
    <x v="4"/>
    <n v="8020"/>
    <s v="Erma"/>
    <n v="101"/>
    <x v="4"/>
    <n v="40"/>
    <n v="480"/>
  </r>
  <r>
    <x v="1"/>
    <x v="1"/>
    <x v="0"/>
    <n v="28112"/>
    <x v="5"/>
    <n v="8020"/>
    <s v="Erma"/>
    <n v="102"/>
    <x v="5"/>
    <n v="70"/>
    <n v="840"/>
  </r>
  <r>
    <x v="1"/>
    <x v="1"/>
    <x v="0"/>
    <n v="28112"/>
    <x v="6"/>
    <n v="8020"/>
    <s v="Erma"/>
    <n v="106"/>
    <x v="6"/>
    <n v="70"/>
    <n v="350"/>
  </r>
  <r>
    <x v="1"/>
    <x v="1"/>
    <x v="0"/>
    <n v="28112"/>
    <x v="7"/>
    <n v="8020"/>
    <s v="Erma"/>
    <n v="108"/>
    <x v="7"/>
    <n v="10"/>
    <n v="280"/>
  </r>
  <r>
    <x v="1"/>
    <x v="1"/>
    <x v="0"/>
    <n v="28112"/>
    <x v="8"/>
    <n v="8020"/>
    <s v="Erma"/>
    <n v="117"/>
    <x v="10"/>
    <n v="80"/>
    <n v="1440"/>
  </r>
  <r>
    <x v="1"/>
    <x v="1"/>
    <x v="0"/>
    <n v="28112"/>
    <x v="9"/>
    <n v="8020"/>
    <s v="Erma"/>
    <n v="118"/>
    <x v="11"/>
    <n v="70"/>
    <n v="1260"/>
  </r>
  <r>
    <x v="1"/>
    <x v="1"/>
    <x v="0"/>
    <n v="25442"/>
    <x v="10"/>
    <n v="8010"/>
    <s v="Dellicia"/>
    <n v="118"/>
    <x v="11"/>
    <n v="70"/>
    <n v="1260"/>
  </r>
  <r>
    <x v="1"/>
    <x v="1"/>
    <x v="0"/>
    <n v="25442"/>
    <x v="11"/>
    <n v="8010"/>
    <s v="Dellicia"/>
    <n v="117"/>
    <x v="10"/>
    <n v="80"/>
    <n v="1440"/>
  </r>
  <r>
    <x v="1"/>
    <x v="1"/>
    <x v="0"/>
    <n v="25442"/>
    <x v="16"/>
    <n v="8010"/>
    <s v="Dellicia"/>
    <n v="118"/>
    <x v="11"/>
    <n v="70"/>
    <n v="1260"/>
  </r>
  <r>
    <x v="1"/>
    <x v="1"/>
    <x v="0"/>
    <n v="25442"/>
    <x v="17"/>
    <n v="8010"/>
    <s v="Dellicia"/>
    <n v="116"/>
    <x v="12"/>
    <n v="60"/>
    <n v="360"/>
  </r>
  <r>
    <x v="1"/>
    <x v="1"/>
    <x v="0"/>
    <n v="25442"/>
    <x v="18"/>
    <n v="8010"/>
    <s v="Dellicia"/>
    <n v="106"/>
    <x v="6"/>
    <n v="20"/>
    <n v="100"/>
  </r>
  <r>
    <x v="1"/>
    <x v="1"/>
    <x v="0"/>
    <n v="25442"/>
    <x v="19"/>
    <n v="8010"/>
    <s v="Dellicia"/>
    <n v="101"/>
    <x v="4"/>
    <n v="40"/>
    <n v="480"/>
  </r>
  <r>
    <x v="1"/>
    <x v="1"/>
    <x v="0"/>
    <n v="25442"/>
    <x v="20"/>
    <n v="8010"/>
    <s v="Dellicia"/>
    <n v="102"/>
    <x v="5"/>
    <n v="10"/>
    <n v="120"/>
  </r>
  <r>
    <x v="2"/>
    <x v="2"/>
    <x v="1"/>
    <n v="44030"/>
    <x v="0"/>
    <n v="8060"/>
    <s v="Liebher"/>
    <n v="108"/>
    <x v="7"/>
    <n v="60"/>
    <n v="1970"/>
  </r>
  <r>
    <x v="2"/>
    <x v="2"/>
    <x v="1"/>
    <n v="44030"/>
    <x v="1"/>
    <n v="8060"/>
    <s v="Liebher"/>
    <n v="109"/>
    <x v="13"/>
    <n v="60"/>
    <n v="1970"/>
  </r>
  <r>
    <x v="2"/>
    <x v="2"/>
    <x v="1"/>
    <n v="44032"/>
    <x v="0"/>
    <n v="8060"/>
    <s v="Liebher"/>
    <n v="108"/>
    <x v="7"/>
    <n v="60"/>
    <n v="1970"/>
  </r>
  <r>
    <x v="2"/>
    <x v="2"/>
    <x v="1"/>
    <n v="44032"/>
    <x v="1"/>
    <n v="8060"/>
    <s v="Liebher"/>
    <n v="109"/>
    <x v="13"/>
    <n v="70"/>
    <n v="2300"/>
  </r>
  <r>
    <x v="2"/>
    <x v="2"/>
    <x v="1"/>
    <n v="44031"/>
    <x v="0"/>
    <n v="8050"/>
    <s v="Aida GmbH"/>
    <n v="108"/>
    <x v="7"/>
    <n v="60"/>
    <n v="1970"/>
  </r>
  <r>
    <x v="2"/>
    <x v="2"/>
    <x v="1"/>
    <n v="44031"/>
    <x v="1"/>
    <n v="8050"/>
    <s v="Aida GmbH"/>
    <n v="109"/>
    <x v="13"/>
    <n v="50"/>
    <n v="1640"/>
  </r>
  <r>
    <x v="2"/>
    <x v="2"/>
    <x v="1"/>
    <n v="44031"/>
    <x v="2"/>
    <n v="8050"/>
    <s v="Aida GmbH"/>
    <n v="110"/>
    <x v="14"/>
    <n v="60"/>
    <n v="4230"/>
  </r>
  <r>
    <x v="2"/>
    <x v="2"/>
    <x v="1"/>
    <n v="48112"/>
    <x v="3"/>
    <n v="8060"/>
    <s v="Liebher"/>
    <n v="109"/>
    <x v="13"/>
    <n v="60"/>
    <n v="1970"/>
  </r>
  <r>
    <x v="2"/>
    <x v="2"/>
    <x v="1"/>
    <n v="48112"/>
    <x v="4"/>
    <n v="8060"/>
    <s v="Liebher"/>
    <n v="110"/>
    <x v="14"/>
    <n v="50"/>
    <n v="3520"/>
  </r>
  <r>
    <x v="2"/>
    <x v="2"/>
    <x v="1"/>
    <n v="48114"/>
    <x v="3"/>
    <n v="8050"/>
    <s v="Aida GmbH"/>
    <n v="109"/>
    <x v="13"/>
    <n v="60"/>
    <n v="1970"/>
  </r>
  <r>
    <x v="2"/>
    <x v="2"/>
    <x v="1"/>
    <n v="48114"/>
    <x v="4"/>
    <n v="8050"/>
    <s v="Aida GmbH"/>
    <n v="110"/>
    <x v="14"/>
    <n v="60"/>
    <n v="4230"/>
  </r>
  <r>
    <x v="2"/>
    <x v="2"/>
    <x v="1"/>
    <n v="48114"/>
    <x v="7"/>
    <n v="8050"/>
    <s v="Aida GmbH"/>
    <n v="111"/>
    <x v="15"/>
    <n v="80"/>
    <n v="1880"/>
  </r>
  <r>
    <x v="2"/>
    <x v="2"/>
    <x v="1"/>
    <n v="48116"/>
    <x v="3"/>
    <n v="8060"/>
    <s v="Liebher"/>
    <n v="109"/>
    <x v="13"/>
    <n v="60"/>
    <n v="1970"/>
  </r>
  <r>
    <x v="2"/>
    <x v="2"/>
    <x v="1"/>
    <n v="48116"/>
    <x v="4"/>
    <n v="8060"/>
    <s v="Liebher"/>
    <n v="110"/>
    <x v="14"/>
    <n v="60"/>
    <n v="4230"/>
  </r>
  <r>
    <x v="2"/>
    <x v="2"/>
    <x v="1"/>
    <n v="45442"/>
    <x v="10"/>
    <n v="8050"/>
    <s v="Aida GmbH"/>
    <n v="108"/>
    <x v="7"/>
    <n v="50"/>
    <n v="1640"/>
  </r>
  <r>
    <x v="2"/>
    <x v="2"/>
    <x v="1"/>
    <n v="45442"/>
    <x v="11"/>
    <n v="8050"/>
    <s v="Aida GmbH"/>
    <n v="109"/>
    <x v="13"/>
    <n v="60"/>
    <n v="1970"/>
  </r>
  <r>
    <x v="2"/>
    <x v="2"/>
    <x v="1"/>
    <n v="45444"/>
    <x v="10"/>
    <n v="8060"/>
    <s v="Liebher"/>
    <n v="108"/>
    <x v="7"/>
    <n v="60"/>
    <n v="1970"/>
  </r>
  <r>
    <x v="2"/>
    <x v="2"/>
    <x v="1"/>
    <n v="45444"/>
    <x v="11"/>
    <n v="8060"/>
    <s v="Liebher"/>
    <n v="109"/>
    <x v="13"/>
    <n v="70"/>
    <n v="2300"/>
  </r>
  <r>
    <x v="2"/>
    <x v="2"/>
    <x v="1"/>
    <n v="45444"/>
    <x v="18"/>
    <n v="8060"/>
    <s v="Liebher"/>
    <n v="110"/>
    <x v="14"/>
    <n v="60"/>
    <n v="4230"/>
  </r>
  <r>
    <x v="2"/>
    <x v="2"/>
    <x v="1"/>
    <n v="45446"/>
    <x v="10"/>
    <n v="8050"/>
    <s v="Aida GmbH"/>
    <n v="111"/>
    <x v="15"/>
    <n v="80"/>
    <n v="1880"/>
  </r>
  <r>
    <x v="2"/>
    <x v="2"/>
    <x v="1"/>
    <n v="45446"/>
    <x v="11"/>
    <n v="8050"/>
    <s v="Aida GmbH"/>
    <n v="108"/>
    <x v="7"/>
    <n v="50"/>
    <n v="1640"/>
  </r>
  <r>
    <x v="2"/>
    <x v="2"/>
    <x v="1"/>
    <n v="44015"/>
    <x v="17"/>
    <n v="8060"/>
    <s v="Liebher"/>
    <n v="108"/>
    <x v="7"/>
    <n v="60"/>
    <n v="1970"/>
  </r>
  <r>
    <x v="2"/>
    <x v="2"/>
    <x v="1"/>
    <n v="44015"/>
    <x v="22"/>
    <n v="8060"/>
    <s v="Liebher"/>
    <n v="109"/>
    <x v="13"/>
    <n v="70"/>
    <n v="2300"/>
  </r>
  <r>
    <x v="2"/>
    <x v="2"/>
    <x v="1"/>
    <n v="44017"/>
    <x v="11"/>
    <n v="8060"/>
    <s v="Liebher"/>
    <n v="108"/>
    <x v="7"/>
    <n v="70"/>
    <n v="2300"/>
  </r>
  <r>
    <x v="2"/>
    <x v="2"/>
    <x v="1"/>
    <n v="44017"/>
    <x v="23"/>
    <n v="8060"/>
    <s v="Liebher"/>
    <n v="109"/>
    <x v="13"/>
    <n v="70"/>
    <n v="2300"/>
  </r>
  <r>
    <x v="2"/>
    <x v="2"/>
    <x v="1"/>
    <n v="44016"/>
    <x v="11"/>
    <n v="8050"/>
    <s v="Aida GmbH"/>
    <n v="108"/>
    <x v="7"/>
    <n v="70"/>
    <n v="2300"/>
  </r>
  <r>
    <x v="2"/>
    <x v="2"/>
    <x v="1"/>
    <n v="44016"/>
    <x v="17"/>
    <n v="8050"/>
    <s v="Aida GmbH"/>
    <n v="109"/>
    <x v="13"/>
    <n v="60"/>
    <n v="1970"/>
  </r>
  <r>
    <x v="2"/>
    <x v="2"/>
    <x v="1"/>
    <n v="44016"/>
    <x v="22"/>
    <n v="8050"/>
    <s v="Aida GmbH"/>
    <n v="110"/>
    <x v="14"/>
    <n v="50"/>
    <n v="3520"/>
  </r>
  <r>
    <x v="2"/>
    <x v="2"/>
    <x v="1"/>
    <n v="48097"/>
    <x v="24"/>
    <n v="8060"/>
    <s v="Liebher"/>
    <n v="109"/>
    <x v="13"/>
    <n v="60"/>
    <n v="1970"/>
  </r>
  <r>
    <x v="2"/>
    <x v="2"/>
    <x v="1"/>
    <n v="48097"/>
    <x v="25"/>
    <n v="8060"/>
    <s v="Liebher"/>
    <n v="110"/>
    <x v="14"/>
    <n v="70"/>
    <n v="4930"/>
  </r>
  <r>
    <x v="2"/>
    <x v="2"/>
    <x v="1"/>
    <n v="48099"/>
    <x v="10"/>
    <n v="8050"/>
    <s v="Aida GmbH"/>
    <n v="109"/>
    <x v="13"/>
    <n v="60"/>
    <n v="1970"/>
  </r>
  <r>
    <x v="2"/>
    <x v="2"/>
    <x v="1"/>
    <n v="48099"/>
    <x v="11"/>
    <n v="8050"/>
    <s v="Aida GmbH"/>
    <n v="110"/>
    <x v="14"/>
    <n v="60"/>
    <n v="4230"/>
  </r>
  <r>
    <x v="2"/>
    <x v="2"/>
    <x v="1"/>
    <n v="48099"/>
    <x v="16"/>
    <n v="8050"/>
    <s v="Aida GmbH"/>
    <n v="111"/>
    <x v="15"/>
    <n v="60"/>
    <n v="1410"/>
  </r>
  <r>
    <x v="2"/>
    <x v="2"/>
    <x v="1"/>
    <n v="48101"/>
    <x v="17"/>
    <n v="8060"/>
    <s v="Liebher"/>
    <n v="109"/>
    <x v="13"/>
    <n v="60"/>
    <n v="1970"/>
  </r>
  <r>
    <x v="2"/>
    <x v="2"/>
    <x v="1"/>
    <n v="48101"/>
    <x v="18"/>
    <n v="8060"/>
    <s v="Liebher"/>
    <n v="110"/>
    <x v="14"/>
    <n v="50"/>
    <n v="3520"/>
  </r>
  <r>
    <x v="2"/>
    <x v="2"/>
    <x v="1"/>
    <n v="45427"/>
    <x v="19"/>
    <n v="8050"/>
    <s v="Aida GmbH"/>
    <n v="108"/>
    <x v="7"/>
    <n v="70"/>
    <n v="2300"/>
  </r>
  <r>
    <x v="2"/>
    <x v="2"/>
    <x v="1"/>
    <n v="45427"/>
    <x v="20"/>
    <n v="8050"/>
    <s v="Aida GmbH"/>
    <n v="109"/>
    <x v="13"/>
    <n v="60"/>
    <n v="1970"/>
  </r>
  <r>
    <x v="2"/>
    <x v="2"/>
    <x v="1"/>
    <n v="45429"/>
    <x v="21"/>
    <n v="8060"/>
    <s v="Liebher"/>
    <n v="108"/>
    <x v="7"/>
    <n v="80"/>
    <n v="2630"/>
  </r>
  <r>
    <x v="2"/>
    <x v="2"/>
    <x v="1"/>
    <n v="45429"/>
    <x v="22"/>
    <n v="8060"/>
    <s v="Liebher"/>
    <n v="109"/>
    <x v="13"/>
    <n v="80"/>
    <n v="2630"/>
  </r>
  <r>
    <x v="2"/>
    <x v="2"/>
    <x v="1"/>
    <n v="45429"/>
    <x v="26"/>
    <n v="8060"/>
    <s v="Liebher"/>
    <n v="110"/>
    <x v="14"/>
    <n v="50"/>
    <n v="3520"/>
  </r>
  <r>
    <x v="2"/>
    <x v="2"/>
    <x v="1"/>
    <n v="45431"/>
    <x v="23"/>
    <n v="8050"/>
    <s v="Aida GmbH"/>
    <n v="111"/>
    <x v="15"/>
    <n v="60"/>
    <n v="1410"/>
  </r>
  <r>
    <x v="2"/>
    <x v="2"/>
    <x v="1"/>
    <n v="45431"/>
    <x v="27"/>
    <n v="8050"/>
    <s v="Aida GmbH"/>
    <n v="108"/>
    <x v="7"/>
    <n v="60"/>
    <n v="19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1010US"/>
    <x v="0"/>
    <x v="0"/>
    <x v="0"/>
    <d v="2020-06-01T00:00:00"/>
    <n v="8010"/>
    <x v="0"/>
    <n v="103"/>
    <x v="0"/>
    <n v="120"/>
    <n v="1440"/>
  </r>
  <r>
    <s v="1010US"/>
    <x v="0"/>
    <x v="0"/>
    <x v="0"/>
    <d v="2020-06-02T00:00:00"/>
    <n v="8010"/>
    <x v="0"/>
    <n v="104"/>
    <x v="1"/>
    <n v="150"/>
    <n v="1800"/>
  </r>
  <r>
    <s v="1010US"/>
    <x v="0"/>
    <x v="0"/>
    <x v="1"/>
    <d v="2020-06-01T00:00:00"/>
    <n v="8010"/>
    <x v="0"/>
    <n v="103"/>
    <x v="0"/>
    <n v="170"/>
    <n v="2040"/>
  </r>
  <r>
    <s v="1010US"/>
    <x v="0"/>
    <x v="0"/>
    <x v="1"/>
    <d v="2020-06-02T00:00:00"/>
    <n v="8010"/>
    <x v="0"/>
    <n v="104"/>
    <x v="1"/>
    <n v="140"/>
    <n v="1680"/>
  </r>
  <r>
    <s v="1010US"/>
    <x v="0"/>
    <x v="0"/>
    <x v="2"/>
    <d v="2020-06-01T00:00:00"/>
    <n v="8020"/>
    <x v="1"/>
    <n v="103"/>
    <x v="0"/>
    <n v="140"/>
    <n v="1680"/>
  </r>
  <r>
    <s v="1010US"/>
    <x v="0"/>
    <x v="0"/>
    <x v="2"/>
    <d v="2020-06-02T00:00:00"/>
    <n v="8020"/>
    <x v="1"/>
    <n v="104"/>
    <x v="1"/>
    <n v="150"/>
    <n v="1800"/>
  </r>
  <r>
    <s v="1010US"/>
    <x v="0"/>
    <x v="0"/>
    <x v="2"/>
    <d v="2020-06-07T00:00:00"/>
    <n v="8020"/>
    <x v="1"/>
    <n v="105"/>
    <x v="2"/>
    <n v="100"/>
    <n v="1000"/>
  </r>
  <r>
    <s v="1010US"/>
    <x v="0"/>
    <x v="0"/>
    <x v="3"/>
    <d v="2020-06-08T00:00:00"/>
    <n v="8010"/>
    <x v="0"/>
    <n v="104"/>
    <x v="1"/>
    <n v="180"/>
    <n v="2160"/>
  </r>
  <r>
    <s v="1010US"/>
    <x v="0"/>
    <x v="0"/>
    <x v="3"/>
    <d v="2020-06-09T00:00:00"/>
    <n v="8010"/>
    <x v="0"/>
    <n v="105"/>
    <x v="2"/>
    <n v="120"/>
    <n v="1200"/>
  </r>
  <r>
    <s v="1010US"/>
    <x v="0"/>
    <x v="0"/>
    <x v="4"/>
    <d v="2020-06-10T00:00:00"/>
    <n v="8020"/>
    <x v="1"/>
    <n v="104"/>
    <x v="1"/>
    <n v="150"/>
    <n v="1800"/>
  </r>
  <r>
    <s v="1010US"/>
    <x v="0"/>
    <x v="0"/>
    <x v="4"/>
    <d v="2020-06-11T00:00:00"/>
    <n v="8020"/>
    <x v="1"/>
    <n v="105"/>
    <x v="2"/>
    <n v="190"/>
    <n v="1900"/>
  </r>
  <r>
    <s v="1010US"/>
    <x v="0"/>
    <x v="0"/>
    <x v="4"/>
    <d v="2020-06-12T00:00:00"/>
    <n v="8020"/>
    <x v="1"/>
    <n v="107"/>
    <x v="3"/>
    <n v="160"/>
    <n v="800"/>
  </r>
  <r>
    <s v="1010US"/>
    <x v="0"/>
    <x v="0"/>
    <x v="4"/>
    <d v="2020-06-13T00:00:00"/>
    <n v="8010"/>
    <x v="0"/>
    <n v="104"/>
    <x v="1"/>
    <n v="160"/>
    <n v="1920"/>
  </r>
  <r>
    <s v="1010US"/>
    <x v="0"/>
    <x v="0"/>
    <x v="4"/>
    <d v="2020-06-14T00:00:00"/>
    <n v="8010"/>
    <x v="0"/>
    <n v="105"/>
    <x v="2"/>
    <n v="190"/>
    <n v="1900"/>
  </r>
  <r>
    <s v="1010US"/>
    <x v="0"/>
    <x v="0"/>
    <x v="5"/>
    <d v="2020-06-15T00:00:00"/>
    <n v="8020"/>
    <x v="1"/>
    <n v="103"/>
    <x v="0"/>
    <n v="120"/>
    <n v="1440"/>
  </r>
  <r>
    <s v="1010US"/>
    <x v="0"/>
    <x v="0"/>
    <x v="5"/>
    <d v="2020-06-16T00:00:00"/>
    <n v="8020"/>
    <x v="1"/>
    <n v="104"/>
    <x v="1"/>
    <n v="110"/>
    <n v="1320"/>
  </r>
  <r>
    <s v="1010US"/>
    <x v="0"/>
    <x v="0"/>
    <x v="6"/>
    <d v="2020-06-02T00:00:00"/>
    <n v="8010"/>
    <x v="0"/>
    <n v="103"/>
    <x v="0"/>
    <n v="120"/>
    <n v="1440"/>
  </r>
  <r>
    <s v="1010US"/>
    <x v="0"/>
    <x v="0"/>
    <x v="6"/>
    <d v="2020-06-03T00:00:00"/>
    <n v="8010"/>
    <x v="0"/>
    <n v="104"/>
    <x v="1"/>
    <n v="140"/>
    <n v="1680"/>
  </r>
  <r>
    <s v="1010US"/>
    <x v="0"/>
    <x v="0"/>
    <x v="6"/>
    <d v="2020-06-04T00:00:00"/>
    <n v="8010"/>
    <x v="0"/>
    <n v="105"/>
    <x v="2"/>
    <n v="160"/>
    <n v="1600"/>
  </r>
  <r>
    <s v="1010US"/>
    <x v="0"/>
    <x v="0"/>
    <x v="6"/>
    <d v="2020-06-05T00:00:00"/>
    <n v="8020"/>
    <x v="1"/>
    <n v="107"/>
    <x v="3"/>
    <n v="120"/>
    <n v="600"/>
  </r>
  <r>
    <s v="1010US"/>
    <x v="0"/>
    <x v="0"/>
    <x v="6"/>
    <d v="2020-06-06T00:00:00"/>
    <n v="8020"/>
    <x v="1"/>
    <n v="103"/>
    <x v="0"/>
    <n v="200"/>
    <n v="2400"/>
  </r>
  <r>
    <s v="1010US"/>
    <x v="0"/>
    <x v="0"/>
    <x v="7"/>
    <d v="2020-06-10T00:00:00"/>
    <n v="8010"/>
    <x v="0"/>
    <n v="103"/>
    <x v="0"/>
    <n v="140"/>
    <n v="1680"/>
  </r>
  <r>
    <s v="1010US"/>
    <x v="0"/>
    <x v="0"/>
    <x v="7"/>
    <d v="2020-06-11T00:00:00"/>
    <n v="8010"/>
    <x v="0"/>
    <n v="104"/>
    <x v="1"/>
    <n v="140"/>
    <n v="1680"/>
  </r>
  <r>
    <s v="1010US"/>
    <x v="0"/>
    <x v="0"/>
    <x v="8"/>
    <d v="2020-06-12T00:00:00"/>
    <n v="8010"/>
    <x v="0"/>
    <n v="103"/>
    <x v="0"/>
    <n v="140"/>
    <n v="1680"/>
  </r>
  <r>
    <s v="1010US"/>
    <x v="0"/>
    <x v="0"/>
    <x v="8"/>
    <d v="2020-06-13T00:00:00"/>
    <n v="8010"/>
    <x v="0"/>
    <n v="104"/>
    <x v="1"/>
    <n v="140"/>
    <n v="1680"/>
  </r>
  <r>
    <s v="1010US"/>
    <x v="0"/>
    <x v="0"/>
    <x v="9"/>
    <d v="2020-06-14T00:00:00"/>
    <n v="8020"/>
    <x v="1"/>
    <n v="103"/>
    <x v="0"/>
    <n v="120"/>
    <n v="1440"/>
  </r>
  <r>
    <s v="1010US"/>
    <x v="0"/>
    <x v="0"/>
    <x v="9"/>
    <d v="2020-06-15T00:00:00"/>
    <n v="8020"/>
    <x v="1"/>
    <n v="104"/>
    <x v="1"/>
    <n v="130"/>
    <n v="1560"/>
  </r>
  <r>
    <s v="1010US"/>
    <x v="0"/>
    <x v="0"/>
    <x v="9"/>
    <d v="2020-06-16T00:00:00"/>
    <n v="8020"/>
    <x v="1"/>
    <n v="105"/>
    <x v="2"/>
    <n v="120"/>
    <n v="1200"/>
  </r>
  <r>
    <s v="1010US"/>
    <x v="0"/>
    <x v="0"/>
    <x v="10"/>
    <d v="2020-06-17T00:00:00"/>
    <n v="8010"/>
    <x v="0"/>
    <n v="104"/>
    <x v="1"/>
    <n v="140"/>
    <n v="1680"/>
  </r>
  <r>
    <s v="1010US"/>
    <x v="0"/>
    <x v="0"/>
    <x v="10"/>
    <d v="2020-06-18T00:00:00"/>
    <n v="8010"/>
    <x v="0"/>
    <n v="105"/>
    <x v="2"/>
    <n v="130"/>
    <n v="1300"/>
  </r>
  <r>
    <s v="1010US"/>
    <x v="0"/>
    <x v="0"/>
    <x v="11"/>
    <d v="2020-06-19T00:00:00"/>
    <n v="8020"/>
    <x v="1"/>
    <n v="104"/>
    <x v="1"/>
    <n v="120"/>
    <n v="1440"/>
  </r>
  <r>
    <s v="1010US"/>
    <x v="0"/>
    <x v="0"/>
    <x v="11"/>
    <d v="2020-06-20T00:00:00"/>
    <n v="8020"/>
    <x v="1"/>
    <n v="105"/>
    <x v="2"/>
    <n v="140"/>
    <n v="1400"/>
  </r>
  <r>
    <s v="1010US"/>
    <x v="0"/>
    <x v="0"/>
    <x v="11"/>
    <d v="2020-06-21T00:00:00"/>
    <n v="8020"/>
    <x v="1"/>
    <n v="107"/>
    <x v="3"/>
    <n v="170"/>
    <n v="850"/>
  </r>
  <r>
    <s v="1010US"/>
    <x v="0"/>
    <x v="0"/>
    <x v="12"/>
    <d v="2020-06-15T00:00:00"/>
    <n v="8010"/>
    <x v="0"/>
    <n v="104"/>
    <x v="1"/>
    <n v="190"/>
    <n v="2280"/>
  </r>
  <r>
    <s v="1010US"/>
    <x v="0"/>
    <x v="0"/>
    <x v="12"/>
    <d v="2020-06-16T00:00:00"/>
    <n v="8010"/>
    <x v="0"/>
    <n v="105"/>
    <x v="2"/>
    <n v="140"/>
    <n v="1400"/>
  </r>
  <r>
    <s v="1010US"/>
    <x v="0"/>
    <x v="0"/>
    <x v="13"/>
    <d v="2020-06-17T00:00:00"/>
    <n v="8020"/>
    <x v="1"/>
    <n v="103"/>
    <x v="0"/>
    <n v="140"/>
    <n v="1680"/>
  </r>
  <r>
    <s v="1010US"/>
    <x v="0"/>
    <x v="0"/>
    <x v="13"/>
    <d v="2020-06-18T00:00:00"/>
    <n v="8020"/>
    <x v="1"/>
    <n v="104"/>
    <x v="1"/>
    <n v="160"/>
    <n v="1920"/>
  </r>
  <r>
    <s v="1010US"/>
    <x v="0"/>
    <x v="0"/>
    <x v="14"/>
    <d v="2020-06-19T00:00:00"/>
    <n v="8010"/>
    <x v="0"/>
    <n v="103"/>
    <x v="0"/>
    <n v="190"/>
    <n v="2280"/>
  </r>
  <r>
    <s v="1010US"/>
    <x v="0"/>
    <x v="0"/>
    <x v="14"/>
    <d v="2020-06-20T00:00:00"/>
    <n v="8010"/>
    <x v="0"/>
    <n v="104"/>
    <x v="1"/>
    <n v="130"/>
    <n v="1560"/>
  </r>
  <r>
    <s v="1010US"/>
    <x v="0"/>
    <x v="0"/>
    <x v="14"/>
    <d v="2020-06-21T00:00:00"/>
    <n v="8010"/>
    <x v="0"/>
    <n v="105"/>
    <x v="2"/>
    <n v="140"/>
    <n v="1400"/>
  </r>
  <r>
    <s v="1010US"/>
    <x v="0"/>
    <x v="0"/>
    <x v="15"/>
    <d v="2020-06-22T00:00:00"/>
    <n v="8020"/>
    <x v="1"/>
    <n v="107"/>
    <x v="3"/>
    <n v="190"/>
    <n v="950"/>
  </r>
  <r>
    <s v="1010US"/>
    <x v="0"/>
    <x v="0"/>
    <x v="15"/>
    <d v="2020-06-23T00:00:00"/>
    <n v="8020"/>
    <x v="1"/>
    <n v="103"/>
    <x v="0"/>
    <n v="120"/>
    <n v="1440"/>
  </r>
  <r>
    <s v="1020US"/>
    <x v="1"/>
    <x v="0"/>
    <x v="16"/>
    <d v="2020-06-01T00:00:00"/>
    <n v="8020"/>
    <x v="1"/>
    <n v="101"/>
    <x v="4"/>
    <n v="130"/>
    <n v="1560"/>
  </r>
  <r>
    <s v="1020US"/>
    <x v="1"/>
    <x v="0"/>
    <x v="16"/>
    <d v="2020-06-02T00:00:00"/>
    <n v="8020"/>
    <x v="1"/>
    <n v="102"/>
    <x v="5"/>
    <n v="30"/>
    <n v="360"/>
  </r>
  <r>
    <s v="1020US"/>
    <x v="1"/>
    <x v="0"/>
    <x v="16"/>
    <d v="2020-06-03T00:00:00"/>
    <n v="8020"/>
    <x v="1"/>
    <n v="106"/>
    <x v="6"/>
    <n v="60"/>
    <n v="300"/>
  </r>
  <r>
    <s v="1020US"/>
    <x v="1"/>
    <x v="0"/>
    <x v="16"/>
    <d v="2020-06-04T00:00:00"/>
    <n v="8020"/>
    <x v="1"/>
    <n v="108"/>
    <x v="7"/>
    <n v="80"/>
    <n v="2240"/>
  </r>
  <r>
    <s v="1020US"/>
    <x v="1"/>
    <x v="0"/>
    <x v="17"/>
    <d v="2020-06-05T00:00:00"/>
    <n v="8020"/>
    <x v="1"/>
    <n v="101"/>
    <x v="4"/>
    <n v="100"/>
    <n v="1200"/>
  </r>
  <r>
    <s v="1020US"/>
    <x v="1"/>
    <x v="0"/>
    <x v="17"/>
    <d v="2020-06-06T00:00:00"/>
    <n v="8020"/>
    <x v="1"/>
    <n v="108"/>
    <x v="7"/>
    <n v="20"/>
    <n v="560"/>
  </r>
  <r>
    <s v="1020US"/>
    <x v="1"/>
    <x v="0"/>
    <x v="17"/>
    <d v="2020-06-07T00:00:00"/>
    <n v="8020"/>
    <x v="1"/>
    <n v="113"/>
    <x v="8"/>
    <n v="100"/>
    <n v="2500"/>
  </r>
  <r>
    <s v="1020US"/>
    <x v="1"/>
    <x v="0"/>
    <x v="18"/>
    <d v="2020-06-08T00:00:00"/>
    <n v="8020"/>
    <x v="1"/>
    <n v="114"/>
    <x v="9"/>
    <n v="50"/>
    <n v="1250"/>
  </r>
  <r>
    <s v="1020US"/>
    <x v="1"/>
    <x v="0"/>
    <x v="18"/>
    <d v="2020-06-09T00:00:00"/>
    <n v="8020"/>
    <x v="1"/>
    <n v="101"/>
    <x v="4"/>
    <n v="40"/>
    <n v="480"/>
  </r>
  <r>
    <s v="1020US"/>
    <x v="1"/>
    <x v="0"/>
    <x v="18"/>
    <d v="2020-06-10T00:00:00"/>
    <n v="8020"/>
    <x v="1"/>
    <n v="102"/>
    <x v="5"/>
    <n v="70"/>
    <n v="840"/>
  </r>
  <r>
    <s v="1020US"/>
    <x v="1"/>
    <x v="0"/>
    <x v="18"/>
    <d v="2020-06-11T00:00:00"/>
    <n v="8020"/>
    <x v="1"/>
    <n v="106"/>
    <x v="6"/>
    <n v="70"/>
    <n v="350"/>
  </r>
  <r>
    <s v="1020US"/>
    <x v="1"/>
    <x v="0"/>
    <x v="18"/>
    <d v="2020-06-12T00:00:00"/>
    <n v="8020"/>
    <x v="1"/>
    <n v="108"/>
    <x v="7"/>
    <n v="10"/>
    <n v="280"/>
  </r>
  <r>
    <s v="1020US"/>
    <x v="1"/>
    <x v="0"/>
    <x v="18"/>
    <d v="2020-06-13T00:00:00"/>
    <n v="8020"/>
    <x v="1"/>
    <n v="117"/>
    <x v="10"/>
    <n v="80"/>
    <n v="1440"/>
  </r>
  <r>
    <s v="1020US"/>
    <x v="1"/>
    <x v="0"/>
    <x v="18"/>
    <d v="2020-06-14T00:00:00"/>
    <n v="8020"/>
    <x v="1"/>
    <n v="118"/>
    <x v="11"/>
    <n v="70"/>
    <n v="1260"/>
  </r>
  <r>
    <s v="1020US"/>
    <x v="1"/>
    <x v="0"/>
    <x v="19"/>
    <d v="2020-06-15T00:00:00"/>
    <n v="8010"/>
    <x v="0"/>
    <n v="118"/>
    <x v="11"/>
    <n v="70"/>
    <n v="1260"/>
  </r>
  <r>
    <s v="1020US"/>
    <x v="1"/>
    <x v="0"/>
    <x v="19"/>
    <d v="2020-06-16T00:00:00"/>
    <n v="8010"/>
    <x v="0"/>
    <n v="117"/>
    <x v="10"/>
    <n v="80"/>
    <n v="1440"/>
  </r>
  <r>
    <s v="1020US"/>
    <x v="1"/>
    <x v="0"/>
    <x v="19"/>
    <d v="2020-06-17T00:00:00"/>
    <n v="8010"/>
    <x v="0"/>
    <n v="118"/>
    <x v="11"/>
    <n v="70"/>
    <n v="1260"/>
  </r>
  <r>
    <s v="1020US"/>
    <x v="1"/>
    <x v="0"/>
    <x v="19"/>
    <d v="2020-06-18T00:00:00"/>
    <n v="8010"/>
    <x v="0"/>
    <n v="116"/>
    <x v="12"/>
    <n v="60"/>
    <n v="360"/>
  </r>
  <r>
    <s v="1020US"/>
    <x v="1"/>
    <x v="0"/>
    <x v="19"/>
    <d v="2020-06-19T00:00:00"/>
    <n v="8010"/>
    <x v="0"/>
    <n v="106"/>
    <x v="6"/>
    <n v="20"/>
    <n v="100"/>
  </r>
  <r>
    <s v="1020US"/>
    <x v="1"/>
    <x v="0"/>
    <x v="19"/>
    <d v="2020-06-20T00:00:00"/>
    <n v="8010"/>
    <x v="0"/>
    <n v="101"/>
    <x v="4"/>
    <n v="40"/>
    <n v="480"/>
  </r>
  <r>
    <s v="1020US"/>
    <x v="1"/>
    <x v="0"/>
    <x v="19"/>
    <d v="2020-06-21T00:00:00"/>
    <n v="8010"/>
    <x v="0"/>
    <n v="102"/>
    <x v="5"/>
    <n v="10"/>
    <n v="120"/>
  </r>
  <r>
    <s v="1040DE"/>
    <x v="2"/>
    <x v="1"/>
    <x v="20"/>
    <d v="2020-06-01T00:00:00"/>
    <n v="8060"/>
    <x v="2"/>
    <n v="108"/>
    <x v="7"/>
    <n v="60"/>
    <n v="1970"/>
  </r>
  <r>
    <s v="1040DE"/>
    <x v="2"/>
    <x v="1"/>
    <x v="20"/>
    <d v="2020-06-02T00:00:00"/>
    <n v="8060"/>
    <x v="2"/>
    <n v="109"/>
    <x v="13"/>
    <n v="60"/>
    <n v="1970"/>
  </r>
  <r>
    <s v="1040DE"/>
    <x v="2"/>
    <x v="1"/>
    <x v="21"/>
    <d v="2020-06-01T00:00:00"/>
    <n v="8060"/>
    <x v="2"/>
    <n v="108"/>
    <x v="7"/>
    <n v="60"/>
    <n v="1970"/>
  </r>
  <r>
    <s v="1040DE"/>
    <x v="2"/>
    <x v="1"/>
    <x v="21"/>
    <d v="2020-06-02T00:00:00"/>
    <n v="8060"/>
    <x v="2"/>
    <n v="109"/>
    <x v="13"/>
    <n v="70"/>
    <n v="2300"/>
  </r>
  <r>
    <s v="1040DE"/>
    <x v="2"/>
    <x v="1"/>
    <x v="22"/>
    <d v="2020-06-01T00:00:00"/>
    <n v="8050"/>
    <x v="3"/>
    <n v="108"/>
    <x v="7"/>
    <n v="60"/>
    <n v="1970"/>
  </r>
  <r>
    <s v="1040DE"/>
    <x v="2"/>
    <x v="1"/>
    <x v="22"/>
    <d v="2020-06-02T00:00:00"/>
    <n v="8050"/>
    <x v="3"/>
    <n v="109"/>
    <x v="13"/>
    <n v="50"/>
    <n v="1640"/>
  </r>
  <r>
    <s v="1040DE"/>
    <x v="2"/>
    <x v="1"/>
    <x v="22"/>
    <d v="2020-06-07T00:00:00"/>
    <n v="8050"/>
    <x v="3"/>
    <n v="110"/>
    <x v="14"/>
    <n v="60"/>
    <n v="4230"/>
  </r>
  <r>
    <s v="1040DE"/>
    <x v="2"/>
    <x v="1"/>
    <x v="23"/>
    <d v="2020-06-08T00:00:00"/>
    <n v="8060"/>
    <x v="2"/>
    <n v="109"/>
    <x v="13"/>
    <n v="60"/>
    <n v="1970"/>
  </r>
  <r>
    <s v="1040DE"/>
    <x v="2"/>
    <x v="1"/>
    <x v="23"/>
    <d v="2020-06-09T00:00:00"/>
    <n v="8060"/>
    <x v="2"/>
    <n v="110"/>
    <x v="14"/>
    <n v="50"/>
    <n v="3520"/>
  </r>
  <r>
    <s v="1040DE"/>
    <x v="2"/>
    <x v="1"/>
    <x v="24"/>
    <d v="2020-06-08T00:00:00"/>
    <n v="8050"/>
    <x v="3"/>
    <n v="109"/>
    <x v="13"/>
    <n v="60"/>
    <n v="1970"/>
  </r>
  <r>
    <s v="1040DE"/>
    <x v="2"/>
    <x v="1"/>
    <x v="24"/>
    <d v="2020-06-09T00:00:00"/>
    <n v="8050"/>
    <x v="3"/>
    <n v="110"/>
    <x v="14"/>
    <n v="60"/>
    <n v="4230"/>
  </r>
  <r>
    <s v="1040DE"/>
    <x v="2"/>
    <x v="1"/>
    <x v="24"/>
    <d v="2020-06-12T00:00:00"/>
    <n v="8050"/>
    <x v="3"/>
    <n v="111"/>
    <x v="15"/>
    <n v="80"/>
    <n v="1880"/>
  </r>
  <r>
    <s v="1040DE"/>
    <x v="2"/>
    <x v="1"/>
    <x v="25"/>
    <d v="2020-06-08T00:00:00"/>
    <n v="8060"/>
    <x v="2"/>
    <n v="109"/>
    <x v="13"/>
    <n v="60"/>
    <n v="1970"/>
  </r>
  <r>
    <s v="1040DE"/>
    <x v="2"/>
    <x v="1"/>
    <x v="25"/>
    <d v="2020-06-09T00:00:00"/>
    <n v="8060"/>
    <x v="2"/>
    <n v="110"/>
    <x v="14"/>
    <n v="60"/>
    <n v="4230"/>
  </r>
  <r>
    <s v="1040DE"/>
    <x v="2"/>
    <x v="1"/>
    <x v="26"/>
    <d v="2020-06-15T00:00:00"/>
    <n v="8050"/>
    <x v="3"/>
    <n v="108"/>
    <x v="7"/>
    <n v="50"/>
    <n v="1640"/>
  </r>
  <r>
    <s v="1040DE"/>
    <x v="2"/>
    <x v="1"/>
    <x v="26"/>
    <d v="2020-06-16T00:00:00"/>
    <n v="8050"/>
    <x v="3"/>
    <n v="109"/>
    <x v="13"/>
    <n v="60"/>
    <n v="1970"/>
  </r>
  <r>
    <s v="1040DE"/>
    <x v="2"/>
    <x v="1"/>
    <x v="27"/>
    <d v="2020-06-15T00:00:00"/>
    <n v="8060"/>
    <x v="2"/>
    <n v="108"/>
    <x v="7"/>
    <n v="60"/>
    <n v="1970"/>
  </r>
  <r>
    <s v="1040DE"/>
    <x v="2"/>
    <x v="1"/>
    <x v="27"/>
    <d v="2020-06-16T00:00:00"/>
    <n v="8060"/>
    <x v="2"/>
    <n v="109"/>
    <x v="13"/>
    <n v="70"/>
    <n v="2300"/>
  </r>
  <r>
    <s v="1040DE"/>
    <x v="2"/>
    <x v="1"/>
    <x v="27"/>
    <d v="2020-06-19T00:00:00"/>
    <n v="8060"/>
    <x v="2"/>
    <n v="110"/>
    <x v="14"/>
    <n v="60"/>
    <n v="4230"/>
  </r>
  <r>
    <s v="1040DE"/>
    <x v="2"/>
    <x v="1"/>
    <x v="28"/>
    <d v="2020-06-15T00:00:00"/>
    <n v="8050"/>
    <x v="3"/>
    <n v="111"/>
    <x v="15"/>
    <n v="80"/>
    <n v="1880"/>
  </r>
  <r>
    <s v="1040DE"/>
    <x v="2"/>
    <x v="1"/>
    <x v="28"/>
    <d v="2020-06-16T00:00:00"/>
    <n v="8050"/>
    <x v="3"/>
    <n v="108"/>
    <x v="7"/>
    <n v="50"/>
    <n v="1640"/>
  </r>
  <r>
    <s v="1040DE"/>
    <x v="2"/>
    <x v="1"/>
    <x v="29"/>
    <d v="2020-06-18T00:00:00"/>
    <n v="8060"/>
    <x v="2"/>
    <n v="108"/>
    <x v="7"/>
    <n v="60"/>
    <n v="1970"/>
  </r>
  <r>
    <s v="1040DE"/>
    <x v="2"/>
    <x v="1"/>
    <x v="29"/>
    <d v="2020-06-23T00:00:00"/>
    <n v="8060"/>
    <x v="2"/>
    <n v="109"/>
    <x v="13"/>
    <n v="70"/>
    <n v="2300"/>
  </r>
  <r>
    <s v="1040DE"/>
    <x v="2"/>
    <x v="1"/>
    <x v="30"/>
    <d v="2020-06-16T00:00:00"/>
    <n v="8060"/>
    <x v="2"/>
    <n v="108"/>
    <x v="7"/>
    <n v="70"/>
    <n v="2300"/>
  </r>
  <r>
    <s v="1040DE"/>
    <x v="2"/>
    <x v="1"/>
    <x v="30"/>
    <d v="2020-06-25T00:00:00"/>
    <n v="8060"/>
    <x v="2"/>
    <n v="109"/>
    <x v="13"/>
    <n v="70"/>
    <n v="2300"/>
  </r>
  <r>
    <s v="1040DE"/>
    <x v="2"/>
    <x v="1"/>
    <x v="31"/>
    <d v="2020-06-16T00:00:00"/>
    <n v="8050"/>
    <x v="3"/>
    <n v="108"/>
    <x v="7"/>
    <n v="70"/>
    <n v="2300"/>
  </r>
  <r>
    <s v="1040DE"/>
    <x v="2"/>
    <x v="1"/>
    <x v="31"/>
    <d v="2020-06-18T00:00:00"/>
    <n v="8050"/>
    <x v="3"/>
    <n v="109"/>
    <x v="13"/>
    <n v="60"/>
    <n v="1970"/>
  </r>
  <r>
    <s v="1040DE"/>
    <x v="2"/>
    <x v="1"/>
    <x v="31"/>
    <d v="2020-06-23T00:00:00"/>
    <n v="8050"/>
    <x v="3"/>
    <n v="110"/>
    <x v="14"/>
    <n v="50"/>
    <n v="3520"/>
  </r>
  <r>
    <s v="1040DE"/>
    <x v="2"/>
    <x v="1"/>
    <x v="32"/>
    <d v="2020-06-29T00:00:00"/>
    <n v="8060"/>
    <x v="2"/>
    <n v="109"/>
    <x v="13"/>
    <n v="60"/>
    <n v="1970"/>
  </r>
  <r>
    <s v="1040DE"/>
    <x v="2"/>
    <x v="1"/>
    <x v="32"/>
    <d v="2020-06-30T00:00:00"/>
    <n v="8060"/>
    <x v="2"/>
    <n v="110"/>
    <x v="14"/>
    <n v="70"/>
    <n v="4930"/>
  </r>
  <r>
    <s v="1040DE"/>
    <x v="2"/>
    <x v="1"/>
    <x v="33"/>
    <d v="2020-06-15T00:00:00"/>
    <n v="8050"/>
    <x v="3"/>
    <n v="109"/>
    <x v="13"/>
    <n v="60"/>
    <n v="1970"/>
  </r>
  <r>
    <s v="1040DE"/>
    <x v="2"/>
    <x v="1"/>
    <x v="33"/>
    <d v="2020-06-16T00:00:00"/>
    <n v="8050"/>
    <x v="3"/>
    <n v="110"/>
    <x v="14"/>
    <n v="60"/>
    <n v="4230"/>
  </r>
  <r>
    <s v="1040DE"/>
    <x v="2"/>
    <x v="1"/>
    <x v="33"/>
    <d v="2020-06-17T00:00:00"/>
    <n v="8050"/>
    <x v="3"/>
    <n v="111"/>
    <x v="15"/>
    <n v="60"/>
    <n v="1410"/>
  </r>
  <r>
    <s v="1040DE"/>
    <x v="2"/>
    <x v="1"/>
    <x v="34"/>
    <d v="2020-06-18T00:00:00"/>
    <n v="8060"/>
    <x v="2"/>
    <n v="109"/>
    <x v="13"/>
    <n v="60"/>
    <n v="1970"/>
  </r>
  <r>
    <s v="1040DE"/>
    <x v="2"/>
    <x v="1"/>
    <x v="34"/>
    <d v="2020-06-19T00:00:00"/>
    <n v="8060"/>
    <x v="2"/>
    <n v="110"/>
    <x v="14"/>
    <n v="50"/>
    <n v="3520"/>
  </r>
  <r>
    <s v="1040DE"/>
    <x v="2"/>
    <x v="1"/>
    <x v="35"/>
    <d v="2020-06-20T00:00:00"/>
    <n v="8050"/>
    <x v="3"/>
    <n v="108"/>
    <x v="7"/>
    <n v="70"/>
    <n v="2300"/>
  </r>
  <r>
    <s v="1040DE"/>
    <x v="2"/>
    <x v="1"/>
    <x v="35"/>
    <d v="2020-06-21T00:00:00"/>
    <n v="8050"/>
    <x v="3"/>
    <n v="109"/>
    <x v="13"/>
    <n v="60"/>
    <n v="1970"/>
  </r>
  <r>
    <s v="1040DE"/>
    <x v="2"/>
    <x v="1"/>
    <x v="36"/>
    <d v="2020-06-22T00:00:00"/>
    <n v="8060"/>
    <x v="2"/>
    <n v="108"/>
    <x v="7"/>
    <n v="80"/>
    <n v="2630"/>
  </r>
  <r>
    <s v="1040DE"/>
    <x v="2"/>
    <x v="1"/>
    <x v="36"/>
    <d v="2020-06-23T00:00:00"/>
    <n v="8060"/>
    <x v="2"/>
    <n v="109"/>
    <x v="13"/>
    <n v="80"/>
    <n v="2630"/>
  </r>
  <r>
    <s v="1040DE"/>
    <x v="2"/>
    <x v="1"/>
    <x v="36"/>
    <d v="2020-06-24T00:00:00"/>
    <n v="8060"/>
    <x v="2"/>
    <n v="110"/>
    <x v="14"/>
    <n v="50"/>
    <n v="3520"/>
  </r>
  <r>
    <s v="1040DE"/>
    <x v="2"/>
    <x v="1"/>
    <x v="37"/>
    <d v="2020-06-25T00:00:00"/>
    <n v="8050"/>
    <x v="3"/>
    <n v="111"/>
    <x v="15"/>
    <n v="60"/>
    <n v="1410"/>
  </r>
  <r>
    <s v="1040DE"/>
    <x v="2"/>
    <x v="1"/>
    <x v="37"/>
    <d v="2020-06-26T00:00:00"/>
    <n v="8050"/>
    <x v="3"/>
    <n v="108"/>
    <x v="7"/>
    <n v="60"/>
    <n v="197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d v="2020-06-01T00:00:00"/>
    <n v="8010"/>
    <x v="0"/>
    <n v="103"/>
    <x v="0"/>
    <n v="120"/>
    <n v="1440"/>
    <n v="172800"/>
  </r>
  <r>
    <x v="0"/>
    <x v="0"/>
    <x v="0"/>
    <d v="2020-06-02T00:00:00"/>
    <n v="8010"/>
    <x v="0"/>
    <n v="104"/>
    <x v="1"/>
    <n v="150"/>
    <n v="1800"/>
    <n v="270000"/>
  </r>
  <r>
    <x v="0"/>
    <x v="0"/>
    <x v="1"/>
    <d v="2020-06-01T00:00:00"/>
    <n v="8010"/>
    <x v="0"/>
    <n v="103"/>
    <x v="0"/>
    <n v="170"/>
    <n v="2040"/>
    <n v="346800"/>
  </r>
  <r>
    <x v="0"/>
    <x v="0"/>
    <x v="1"/>
    <d v="2020-06-02T00:00:00"/>
    <n v="8010"/>
    <x v="0"/>
    <n v="104"/>
    <x v="1"/>
    <n v="140"/>
    <n v="1680"/>
    <n v="235200"/>
  </r>
  <r>
    <x v="0"/>
    <x v="0"/>
    <x v="2"/>
    <d v="2020-06-01T00:00:00"/>
    <n v="8020"/>
    <x v="1"/>
    <n v="103"/>
    <x v="0"/>
    <n v="140"/>
    <n v="1680"/>
    <n v="235200"/>
  </r>
  <r>
    <x v="0"/>
    <x v="0"/>
    <x v="2"/>
    <d v="2020-06-02T00:00:00"/>
    <n v="8020"/>
    <x v="1"/>
    <n v="104"/>
    <x v="1"/>
    <n v="150"/>
    <n v="1800"/>
    <n v="270000"/>
  </r>
  <r>
    <x v="0"/>
    <x v="0"/>
    <x v="2"/>
    <d v="2020-06-07T00:00:00"/>
    <n v="8020"/>
    <x v="1"/>
    <n v="105"/>
    <x v="2"/>
    <n v="100"/>
    <n v="1000"/>
    <n v="100000"/>
  </r>
  <r>
    <x v="0"/>
    <x v="0"/>
    <x v="3"/>
    <d v="2020-06-08T00:00:00"/>
    <n v="8010"/>
    <x v="0"/>
    <n v="104"/>
    <x v="1"/>
    <n v="180"/>
    <n v="2160"/>
    <n v="388800"/>
  </r>
  <r>
    <x v="0"/>
    <x v="0"/>
    <x v="3"/>
    <d v="2020-06-09T00:00:00"/>
    <n v="8010"/>
    <x v="0"/>
    <n v="105"/>
    <x v="2"/>
    <n v="120"/>
    <n v="1200"/>
    <n v="144000"/>
  </r>
  <r>
    <x v="0"/>
    <x v="0"/>
    <x v="4"/>
    <d v="2020-06-10T00:00:00"/>
    <n v="8020"/>
    <x v="1"/>
    <n v="104"/>
    <x v="1"/>
    <n v="150"/>
    <n v="1800"/>
    <n v="270000"/>
  </r>
  <r>
    <x v="0"/>
    <x v="0"/>
    <x v="4"/>
    <d v="2020-06-11T00:00:00"/>
    <n v="8020"/>
    <x v="1"/>
    <n v="105"/>
    <x v="2"/>
    <n v="190"/>
    <n v="1900"/>
    <n v="361000"/>
  </r>
  <r>
    <x v="0"/>
    <x v="0"/>
    <x v="4"/>
    <d v="2020-06-12T00:00:00"/>
    <n v="8020"/>
    <x v="1"/>
    <n v="107"/>
    <x v="3"/>
    <n v="160"/>
    <n v="800"/>
    <n v="128000"/>
  </r>
  <r>
    <x v="0"/>
    <x v="0"/>
    <x v="4"/>
    <d v="2020-06-13T00:00:00"/>
    <n v="8010"/>
    <x v="0"/>
    <n v="104"/>
    <x v="1"/>
    <n v="160"/>
    <n v="1920"/>
    <n v="307200"/>
  </r>
  <r>
    <x v="0"/>
    <x v="0"/>
    <x v="4"/>
    <d v="2020-06-14T00:00:00"/>
    <n v="8010"/>
    <x v="0"/>
    <n v="105"/>
    <x v="2"/>
    <n v="190"/>
    <n v="1900"/>
    <n v="361000"/>
  </r>
  <r>
    <x v="0"/>
    <x v="0"/>
    <x v="5"/>
    <d v="2020-06-15T00:00:00"/>
    <n v="8020"/>
    <x v="1"/>
    <n v="103"/>
    <x v="0"/>
    <n v="120"/>
    <n v="1440"/>
    <n v="172800"/>
  </r>
  <r>
    <x v="0"/>
    <x v="0"/>
    <x v="5"/>
    <d v="2020-06-16T00:00:00"/>
    <n v="8020"/>
    <x v="1"/>
    <n v="104"/>
    <x v="1"/>
    <n v="110"/>
    <n v="1320"/>
    <n v="145200"/>
  </r>
  <r>
    <x v="0"/>
    <x v="0"/>
    <x v="6"/>
    <d v="2020-06-02T00:00:00"/>
    <n v="8010"/>
    <x v="0"/>
    <n v="103"/>
    <x v="0"/>
    <n v="120"/>
    <n v="1440"/>
    <n v="172800"/>
  </r>
  <r>
    <x v="0"/>
    <x v="0"/>
    <x v="6"/>
    <d v="2020-06-03T00:00:00"/>
    <n v="8010"/>
    <x v="0"/>
    <n v="104"/>
    <x v="1"/>
    <n v="140"/>
    <n v="1680"/>
    <n v="235200"/>
  </r>
  <r>
    <x v="0"/>
    <x v="0"/>
    <x v="6"/>
    <d v="2020-06-04T00:00:00"/>
    <n v="8010"/>
    <x v="0"/>
    <n v="105"/>
    <x v="2"/>
    <n v="160"/>
    <n v="1600"/>
    <n v="256000"/>
  </r>
  <r>
    <x v="0"/>
    <x v="0"/>
    <x v="6"/>
    <d v="2020-06-05T00:00:00"/>
    <n v="8020"/>
    <x v="1"/>
    <n v="107"/>
    <x v="3"/>
    <n v="120"/>
    <n v="600"/>
    <n v="72000"/>
  </r>
  <r>
    <x v="0"/>
    <x v="0"/>
    <x v="6"/>
    <d v="2020-06-06T00:00:00"/>
    <n v="8020"/>
    <x v="1"/>
    <n v="103"/>
    <x v="0"/>
    <n v="200"/>
    <n v="2400"/>
    <n v="480000"/>
  </r>
  <r>
    <x v="0"/>
    <x v="0"/>
    <x v="7"/>
    <d v="2020-06-10T00:00:00"/>
    <n v="8010"/>
    <x v="0"/>
    <n v="103"/>
    <x v="0"/>
    <n v="140"/>
    <n v="1680"/>
    <n v="235200"/>
  </r>
  <r>
    <x v="0"/>
    <x v="0"/>
    <x v="7"/>
    <d v="2020-06-11T00:00:00"/>
    <n v="8010"/>
    <x v="0"/>
    <n v="104"/>
    <x v="1"/>
    <n v="140"/>
    <n v="1680"/>
    <n v="235200"/>
  </r>
  <r>
    <x v="0"/>
    <x v="0"/>
    <x v="8"/>
    <d v="2020-06-12T00:00:00"/>
    <n v="8010"/>
    <x v="0"/>
    <n v="103"/>
    <x v="0"/>
    <n v="140"/>
    <n v="1680"/>
    <n v="235200"/>
  </r>
  <r>
    <x v="0"/>
    <x v="0"/>
    <x v="8"/>
    <d v="2020-06-13T00:00:00"/>
    <n v="8010"/>
    <x v="0"/>
    <n v="104"/>
    <x v="1"/>
    <n v="140"/>
    <n v="1680"/>
    <n v="235200"/>
  </r>
  <r>
    <x v="0"/>
    <x v="0"/>
    <x v="9"/>
    <d v="2020-06-14T00:00:00"/>
    <n v="8020"/>
    <x v="1"/>
    <n v="103"/>
    <x v="0"/>
    <n v="120"/>
    <n v="1440"/>
    <n v="172800"/>
  </r>
  <r>
    <x v="0"/>
    <x v="0"/>
    <x v="9"/>
    <d v="2020-06-15T00:00:00"/>
    <n v="8020"/>
    <x v="1"/>
    <n v="104"/>
    <x v="1"/>
    <n v="130"/>
    <n v="1560"/>
    <n v="202800"/>
  </r>
  <r>
    <x v="0"/>
    <x v="0"/>
    <x v="9"/>
    <d v="2020-06-16T00:00:00"/>
    <n v="8020"/>
    <x v="1"/>
    <n v="105"/>
    <x v="2"/>
    <n v="120"/>
    <n v="1200"/>
    <n v="144000"/>
  </r>
  <r>
    <x v="0"/>
    <x v="0"/>
    <x v="10"/>
    <d v="2020-06-17T00:00:00"/>
    <n v="8010"/>
    <x v="0"/>
    <n v="104"/>
    <x v="1"/>
    <n v="140"/>
    <n v="1680"/>
    <n v="235200"/>
  </r>
  <r>
    <x v="0"/>
    <x v="0"/>
    <x v="10"/>
    <d v="2020-06-18T00:00:00"/>
    <n v="8010"/>
    <x v="0"/>
    <n v="105"/>
    <x v="2"/>
    <n v="130"/>
    <n v="1300"/>
    <n v="169000"/>
  </r>
  <r>
    <x v="0"/>
    <x v="0"/>
    <x v="11"/>
    <d v="2020-06-19T00:00:00"/>
    <n v="8020"/>
    <x v="1"/>
    <n v="104"/>
    <x v="1"/>
    <n v="120"/>
    <n v="1440"/>
    <n v="172800"/>
  </r>
  <r>
    <x v="0"/>
    <x v="0"/>
    <x v="11"/>
    <d v="2020-06-20T00:00:00"/>
    <n v="8020"/>
    <x v="1"/>
    <n v="105"/>
    <x v="2"/>
    <n v="140"/>
    <n v="1400"/>
    <n v="196000"/>
  </r>
  <r>
    <x v="0"/>
    <x v="0"/>
    <x v="11"/>
    <d v="2020-06-21T00:00:00"/>
    <n v="8020"/>
    <x v="1"/>
    <n v="107"/>
    <x v="3"/>
    <n v="170"/>
    <n v="850"/>
    <n v="144500"/>
  </r>
  <r>
    <x v="0"/>
    <x v="0"/>
    <x v="12"/>
    <d v="2020-06-15T00:00:00"/>
    <n v="8010"/>
    <x v="0"/>
    <n v="104"/>
    <x v="1"/>
    <n v="190"/>
    <n v="2280"/>
    <n v="433200"/>
  </r>
  <r>
    <x v="0"/>
    <x v="0"/>
    <x v="12"/>
    <d v="2020-06-16T00:00:00"/>
    <n v="8010"/>
    <x v="0"/>
    <n v="105"/>
    <x v="2"/>
    <n v="140"/>
    <n v="1400"/>
    <n v="196000"/>
  </r>
  <r>
    <x v="0"/>
    <x v="0"/>
    <x v="13"/>
    <d v="2020-06-17T00:00:00"/>
    <n v="8020"/>
    <x v="1"/>
    <n v="103"/>
    <x v="0"/>
    <n v="140"/>
    <n v="1680"/>
    <n v="235200"/>
  </r>
  <r>
    <x v="0"/>
    <x v="0"/>
    <x v="13"/>
    <d v="2020-06-18T00:00:00"/>
    <n v="8020"/>
    <x v="1"/>
    <n v="104"/>
    <x v="1"/>
    <n v="160"/>
    <n v="1920"/>
    <n v="307200"/>
  </r>
  <r>
    <x v="0"/>
    <x v="0"/>
    <x v="14"/>
    <d v="2020-06-19T00:00:00"/>
    <n v="8010"/>
    <x v="0"/>
    <n v="103"/>
    <x v="0"/>
    <n v="190"/>
    <n v="2280"/>
    <n v="433200"/>
  </r>
  <r>
    <x v="0"/>
    <x v="0"/>
    <x v="14"/>
    <d v="2020-06-20T00:00:00"/>
    <n v="8010"/>
    <x v="0"/>
    <n v="104"/>
    <x v="1"/>
    <n v="130"/>
    <n v="1560"/>
    <n v="202800"/>
  </r>
  <r>
    <x v="0"/>
    <x v="0"/>
    <x v="14"/>
    <d v="2020-06-21T00:00:00"/>
    <n v="8010"/>
    <x v="0"/>
    <n v="105"/>
    <x v="2"/>
    <n v="140"/>
    <n v="1400"/>
    <n v="196000"/>
  </r>
  <r>
    <x v="0"/>
    <x v="0"/>
    <x v="15"/>
    <d v="2020-06-22T00:00:00"/>
    <n v="8020"/>
    <x v="1"/>
    <n v="107"/>
    <x v="3"/>
    <n v="190"/>
    <n v="950"/>
    <n v="180500"/>
  </r>
  <r>
    <x v="0"/>
    <x v="0"/>
    <x v="15"/>
    <d v="2020-06-23T00:00:00"/>
    <n v="8020"/>
    <x v="1"/>
    <n v="103"/>
    <x v="0"/>
    <n v="120"/>
    <n v="1440"/>
    <n v="172800"/>
  </r>
  <r>
    <x v="1"/>
    <x v="0"/>
    <x v="16"/>
    <d v="2020-06-01T00:00:00"/>
    <n v="8020"/>
    <x v="1"/>
    <n v="101"/>
    <x v="4"/>
    <n v="130"/>
    <n v="1560"/>
    <n v="202800"/>
  </r>
  <r>
    <x v="1"/>
    <x v="0"/>
    <x v="16"/>
    <d v="2020-06-02T00:00:00"/>
    <n v="8020"/>
    <x v="1"/>
    <n v="102"/>
    <x v="5"/>
    <n v="30"/>
    <n v="360"/>
    <n v="10800"/>
  </r>
  <r>
    <x v="1"/>
    <x v="0"/>
    <x v="16"/>
    <d v="2020-06-03T00:00:00"/>
    <n v="8020"/>
    <x v="1"/>
    <n v="106"/>
    <x v="6"/>
    <n v="60"/>
    <n v="300"/>
    <n v="18000"/>
  </r>
  <r>
    <x v="1"/>
    <x v="0"/>
    <x v="16"/>
    <d v="2020-06-04T00:00:00"/>
    <n v="8020"/>
    <x v="1"/>
    <n v="108"/>
    <x v="7"/>
    <n v="80"/>
    <n v="2240"/>
    <n v="179200"/>
  </r>
  <r>
    <x v="1"/>
    <x v="0"/>
    <x v="17"/>
    <d v="2020-06-05T00:00:00"/>
    <n v="8020"/>
    <x v="1"/>
    <n v="101"/>
    <x v="4"/>
    <n v="100"/>
    <n v="1200"/>
    <n v="120000"/>
  </r>
  <r>
    <x v="1"/>
    <x v="0"/>
    <x v="17"/>
    <d v="2020-06-06T00:00:00"/>
    <n v="8020"/>
    <x v="1"/>
    <n v="108"/>
    <x v="7"/>
    <n v="20"/>
    <n v="560"/>
    <n v="11200"/>
  </r>
  <r>
    <x v="1"/>
    <x v="0"/>
    <x v="17"/>
    <d v="2020-06-07T00:00:00"/>
    <n v="8020"/>
    <x v="1"/>
    <n v="113"/>
    <x v="8"/>
    <n v="100"/>
    <n v="2500"/>
    <n v="250000"/>
  </r>
  <r>
    <x v="1"/>
    <x v="0"/>
    <x v="18"/>
    <d v="2020-06-08T00:00:00"/>
    <n v="8020"/>
    <x v="1"/>
    <n v="114"/>
    <x v="9"/>
    <n v="50"/>
    <n v="1250"/>
    <n v="62500"/>
  </r>
  <r>
    <x v="1"/>
    <x v="0"/>
    <x v="18"/>
    <d v="2020-06-09T00:00:00"/>
    <n v="8020"/>
    <x v="1"/>
    <n v="101"/>
    <x v="4"/>
    <n v="40"/>
    <n v="480"/>
    <n v="19200"/>
  </r>
  <r>
    <x v="1"/>
    <x v="0"/>
    <x v="18"/>
    <d v="2020-06-10T00:00:00"/>
    <n v="8020"/>
    <x v="1"/>
    <n v="102"/>
    <x v="5"/>
    <n v="70"/>
    <n v="840"/>
    <n v="58800"/>
  </r>
  <r>
    <x v="1"/>
    <x v="0"/>
    <x v="18"/>
    <d v="2020-06-11T00:00:00"/>
    <n v="8020"/>
    <x v="1"/>
    <n v="106"/>
    <x v="6"/>
    <n v="70"/>
    <n v="350"/>
    <n v="24500"/>
  </r>
  <r>
    <x v="1"/>
    <x v="0"/>
    <x v="18"/>
    <d v="2020-06-12T00:00:00"/>
    <n v="8020"/>
    <x v="1"/>
    <n v="108"/>
    <x v="7"/>
    <n v="10"/>
    <n v="280"/>
    <n v="2800"/>
  </r>
  <r>
    <x v="1"/>
    <x v="0"/>
    <x v="18"/>
    <d v="2020-06-13T00:00:00"/>
    <n v="8020"/>
    <x v="1"/>
    <n v="117"/>
    <x v="10"/>
    <n v="80"/>
    <n v="1440"/>
    <n v="115200"/>
  </r>
  <r>
    <x v="1"/>
    <x v="0"/>
    <x v="18"/>
    <d v="2020-06-14T00:00:00"/>
    <n v="8020"/>
    <x v="1"/>
    <n v="118"/>
    <x v="11"/>
    <n v="70"/>
    <n v="1260"/>
    <n v="88200"/>
  </r>
  <r>
    <x v="1"/>
    <x v="0"/>
    <x v="19"/>
    <d v="2020-06-15T00:00:00"/>
    <n v="8010"/>
    <x v="0"/>
    <n v="118"/>
    <x v="11"/>
    <n v="70"/>
    <n v="1260"/>
    <n v="88200"/>
  </r>
  <r>
    <x v="1"/>
    <x v="0"/>
    <x v="19"/>
    <d v="2020-06-16T00:00:00"/>
    <n v="8010"/>
    <x v="0"/>
    <n v="117"/>
    <x v="10"/>
    <n v="80"/>
    <n v="1440"/>
    <n v="115200"/>
  </r>
  <r>
    <x v="1"/>
    <x v="0"/>
    <x v="19"/>
    <d v="2020-06-17T00:00:00"/>
    <n v="8010"/>
    <x v="0"/>
    <n v="118"/>
    <x v="11"/>
    <n v="70"/>
    <n v="1260"/>
    <n v="88200"/>
  </r>
  <r>
    <x v="1"/>
    <x v="0"/>
    <x v="19"/>
    <d v="2020-06-18T00:00:00"/>
    <n v="8010"/>
    <x v="0"/>
    <n v="116"/>
    <x v="12"/>
    <n v="60"/>
    <n v="360"/>
    <n v="21600"/>
  </r>
  <r>
    <x v="1"/>
    <x v="0"/>
    <x v="19"/>
    <d v="2020-06-19T00:00:00"/>
    <n v="8010"/>
    <x v="0"/>
    <n v="106"/>
    <x v="6"/>
    <n v="20"/>
    <n v="100"/>
    <n v="2000"/>
  </r>
  <r>
    <x v="1"/>
    <x v="0"/>
    <x v="19"/>
    <d v="2020-06-20T00:00:00"/>
    <n v="8010"/>
    <x v="0"/>
    <n v="101"/>
    <x v="4"/>
    <n v="40"/>
    <n v="480"/>
    <n v="19200"/>
  </r>
  <r>
    <x v="1"/>
    <x v="0"/>
    <x v="19"/>
    <d v="2020-06-21T00:00:00"/>
    <n v="8010"/>
    <x v="0"/>
    <n v="102"/>
    <x v="5"/>
    <n v="10"/>
    <n v="120"/>
    <n v="1200"/>
  </r>
  <r>
    <x v="2"/>
    <x v="1"/>
    <x v="20"/>
    <d v="2020-06-01T00:00:00"/>
    <n v="8060"/>
    <x v="2"/>
    <n v="108"/>
    <x v="7"/>
    <n v="60"/>
    <n v="1970"/>
    <n v="118200"/>
  </r>
  <r>
    <x v="2"/>
    <x v="1"/>
    <x v="20"/>
    <d v="2020-06-02T00:00:00"/>
    <n v="8060"/>
    <x v="2"/>
    <n v="109"/>
    <x v="13"/>
    <n v="60"/>
    <n v="1970"/>
    <n v="118200"/>
  </r>
  <r>
    <x v="2"/>
    <x v="1"/>
    <x v="21"/>
    <d v="2020-06-01T00:00:00"/>
    <n v="8060"/>
    <x v="2"/>
    <n v="108"/>
    <x v="7"/>
    <n v="60"/>
    <n v="1970"/>
    <n v="118200"/>
  </r>
  <r>
    <x v="2"/>
    <x v="1"/>
    <x v="21"/>
    <d v="2020-06-02T00:00:00"/>
    <n v="8060"/>
    <x v="2"/>
    <n v="109"/>
    <x v="13"/>
    <n v="70"/>
    <n v="2300"/>
    <n v="161000"/>
  </r>
  <r>
    <x v="2"/>
    <x v="1"/>
    <x v="22"/>
    <d v="2020-06-01T00:00:00"/>
    <n v="8050"/>
    <x v="3"/>
    <n v="108"/>
    <x v="7"/>
    <n v="60"/>
    <n v="1970"/>
    <n v="118200"/>
  </r>
  <r>
    <x v="2"/>
    <x v="1"/>
    <x v="22"/>
    <d v="2020-06-02T00:00:00"/>
    <n v="8050"/>
    <x v="3"/>
    <n v="109"/>
    <x v="13"/>
    <n v="50"/>
    <n v="1640"/>
    <n v="82000"/>
  </r>
  <r>
    <x v="2"/>
    <x v="1"/>
    <x v="22"/>
    <d v="2020-06-07T00:00:00"/>
    <n v="8050"/>
    <x v="3"/>
    <n v="110"/>
    <x v="14"/>
    <n v="60"/>
    <n v="4230"/>
    <n v="253800"/>
  </r>
  <r>
    <x v="2"/>
    <x v="1"/>
    <x v="23"/>
    <d v="2020-06-08T00:00:00"/>
    <n v="8060"/>
    <x v="2"/>
    <n v="109"/>
    <x v="13"/>
    <n v="60"/>
    <n v="1970"/>
    <n v="118200"/>
  </r>
  <r>
    <x v="2"/>
    <x v="1"/>
    <x v="23"/>
    <d v="2020-06-09T00:00:00"/>
    <n v="8060"/>
    <x v="2"/>
    <n v="110"/>
    <x v="14"/>
    <n v="50"/>
    <n v="3520"/>
    <n v="176000"/>
  </r>
  <r>
    <x v="2"/>
    <x v="1"/>
    <x v="24"/>
    <d v="2020-06-08T00:00:00"/>
    <n v="8050"/>
    <x v="3"/>
    <n v="109"/>
    <x v="13"/>
    <n v="60"/>
    <n v="1970"/>
    <n v="118200"/>
  </r>
  <r>
    <x v="2"/>
    <x v="1"/>
    <x v="24"/>
    <d v="2020-06-09T00:00:00"/>
    <n v="8050"/>
    <x v="3"/>
    <n v="110"/>
    <x v="14"/>
    <n v="60"/>
    <n v="4230"/>
    <n v="253800"/>
  </r>
  <r>
    <x v="2"/>
    <x v="1"/>
    <x v="24"/>
    <d v="2020-06-12T00:00:00"/>
    <n v="8050"/>
    <x v="3"/>
    <n v="111"/>
    <x v="15"/>
    <n v="80"/>
    <n v="1880"/>
    <n v="150400"/>
  </r>
  <r>
    <x v="2"/>
    <x v="1"/>
    <x v="25"/>
    <d v="2020-06-08T00:00:00"/>
    <n v="8060"/>
    <x v="2"/>
    <n v="109"/>
    <x v="13"/>
    <n v="60"/>
    <n v="1970"/>
    <n v="118200"/>
  </r>
  <r>
    <x v="2"/>
    <x v="1"/>
    <x v="25"/>
    <d v="2020-06-09T00:00:00"/>
    <n v="8060"/>
    <x v="2"/>
    <n v="110"/>
    <x v="14"/>
    <n v="60"/>
    <n v="4230"/>
    <n v="253800"/>
  </r>
  <r>
    <x v="2"/>
    <x v="1"/>
    <x v="26"/>
    <d v="2020-06-15T00:00:00"/>
    <n v="8050"/>
    <x v="3"/>
    <n v="108"/>
    <x v="7"/>
    <n v="50"/>
    <n v="1640"/>
    <n v="82000"/>
  </r>
  <r>
    <x v="2"/>
    <x v="1"/>
    <x v="26"/>
    <d v="2020-06-16T00:00:00"/>
    <n v="8050"/>
    <x v="3"/>
    <n v="109"/>
    <x v="13"/>
    <n v="60"/>
    <n v="1970"/>
    <n v="118200"/>
  </r>
  <r>
    <x v="2"/>
    <x v="1"/>
    <x v="27"/>
    <d v="2020-06-15T00:00:00"/>
    <n v="8060"/>
    <x v="2"/>
    <n v="108"/>
    <x v="7"/>
    <n v="60"/>
    <n v="1970"/>
    <n v="118200"/>
  </r>
  <r>
    <x v="2"/>
    <x v="1"/>
    <x v="27"/>
    <d v="2020-06-16T00:00:00"/>
    <n v="8060"/>
    <x v="2"/>
    <n v="109"/>
    <x v="13"/>
    <n v="70"/>
    <n v="2300"/>
    <n v="161000"/>
  </r>
  <r>
    <x v="2"/>
    <x v="1"/>
    <x v="27"/>
    <d v="2020-06-19T00:00:00"/>
    <n v="8060"/>
    <x v="2"/>
    <n v="110"/>
    <x v="14"/>
    <n v="60"/>
    <n v="4230"/>
    <n v="253800"/>
  </r>
  <r>
    <x v="2"/>
    <x v="1"/>
    <x v="28"/>
    <d v="2020-06-15T00:00:00"/>
    <n v="8050"/>
    <x v="3"/>
    <n v="111"/>
    <x v="15"/>
    <n v="80"/>
    <n v="1880"/>
    <n v="150400"/>
  </r>
  <r>
    <x v="2"/>
    <x v="1"/>
    <x v="28"/>
    <d v="2020-06-16T00:00:00"/>
    <n v="8050"/>
    <x v="3"/>
    <n v="108"/>
    <x v="7"/>
    <n v="50"/>
    <n v="1640"/>
    <n v="82000"/>
  </r>
  <r>
    <x v="2"/>
    <x v="1"/>
    <x v="29"/>
    <d v="2020-06-18T00:00:00"/>
    <n v="8060"/>
    <x v="2"/>
    <n v="108"/>
    <x v="7"/>
    <n v="60"/>
    <n v="1970"/>
    <n v="118200"/>
  </r>
  <r>
    <x v="2"/>
    <x v="1"/>
    <x v="29"/>
    <d v="2020-06-23T00:00:00"/>
    <n v="8060"/>
    <x v="2"/>
    <n v="109"/>
    <x v="13"/>
    <n v="70"/>
    <n v="2300"/>
    <n v="161000"/>
  </r>
  <r>
    <x v="2"/>
    <x v="1"/>
    <x v="30"/>
    <d v="2020-06-16T00:00:00"/>
    <n v="8060"/>
    <x v="2"/>
    <n v="108"/>
    <x v="7"/>
    <n v="70"/>
    <n v="2300"/>
    <n v="161000"/>
  </r>
  <r>
    <x v="2"/>
    <x v="1"/>
    <x v="30"/>
    <d v="2020-06-25T00:00:00"/>
    <n v="8060"/>
    <x v="2"/>
    <n v="109"/>
    <x v="13"/>
    <n v="70"/>
    <n v="2300"/>
    <n v="161000"/>
  </r>
  <r>
    <x v="2"/>
    <x v="1"/>
    <x v="31"/>
    <d v="2020-06-16T00:00:00"/>
    <n v="8050"/>
    <x v="3"/>
    <n v="108"/>
    <x v="7"/>
    <n v="70"/>
    <n v="2300"/>
    <n v="161000"/>
  </r>
  <r>
    <x v="2"/>
    <x v="1"/>
    <x v="31"/>
    <d v="2020-06-18T00:00:00"/>
    <n v="8050"/>
    <x v="3"/>
    <n v="109"/>
    <x v="13"/>
    <n v="60"/>
    <n v="1970"/>
    <n v="118200"/>
  </r>
  <r>
    <x v="2"/>
    <x v="1"/>
    <x v="31"/>
    <d v="2020-06-23T00:00:00"/>
    <n v="8050"/>
    <x v="3"/>
    <n v="110"/>
    <x v="14"/>
    <n v="50"/>
    <n v="3520"/>
    <n v="176000"/>
  </r>
  <r>
    <x v="2"/>
    <x v="1"/>
    <x v="32"/>
    <d v="2020-06-29T00:00:00"/>
    <n v="8060"/>
    <x v="2"/>
    <n v="109"/>
    <x v="13"/>
    <n v="60"/>
    <n v="1970"/>
    <n v="118200"/>
  </r>
  <r>
    <x v="2"/>
    <x v="1"/>
    <x v="32"/>
    <d v="2020-06-30T00:00:00"/>
    <n v="8060"/>
    <x v="2"/>
    <n v="110"/>
    <x v="14"/>
    <n v="70"/>
    <n v="4930"/>
    <n v="345100"/>
  </r>
  <r>
    <x v="2"/>
    <x v="1"/>
    <x v="33"/>
    <d v="2020-06-15T00:00:00"/>
    <n v="8050"/>
    <x v="3"/>
    <n v="109"/>
    <x v="13"/>
    <n v="60"/>
    <n v="1970"/>
    <n v="118200"/>
  </r>
  <r>
    <x v="2"/>
    <x v="1"/>
    <x v="33"/>
    <d v="2020-06-16T00:00:00"/>
    <n v="8050"/>
    <x v="3"/>
    <n v="110"/>
    <x v="14"/>
    <n v="60"/>
    <n v="4230"/>
    <n v="253800"/>
  </r>
  <r>
    <x v="2"/>
    <x v="1"/>
    <x v="33"/>
    <d v="2020-06-17T00:00:00"/>
    <n v="8050"/>
    <x v="3"/>
    <n v="111"/>
    <x v="15"/>
    <n v="60"/>
    <n v="1410"/>
    <n v="84600"/>
  </r>
  <r>
    <x v="2"/>
    <x v="1"/>
    <x v="34"/>
    <d v="2020-06-18T00:00:00"/>
    <n v="8060"/>
    <x v="2"/>
    <n v="109"/>
    <x v="13"/>
    <n v="60"/>
    <n v="1970"/>
    <n v="118200"/>
  </r>
  <r>
    <x v="2"/>
    <x v="1"/>
    <x v="34"/>
    <d v="2020-06-19T00:00:00"/>
    <n v="8060"/>
    <x v="2"/>
    <n v="110"/>
    <x v="14"/>
    <n v="50"/>
    <n v="3520"/>
    <n v="176000"/>
  </r>
  <r>
    <x v="2"/>
    <x v="1"/>
    <x v="35"/>
    <d v="2020-06-20T00:00:00"/>
    <n v="8050"/>
    <x v="3"/>
    <n v="108"/>
    <x v="7"/>
    <n v="70"/>
    <n v="2300"/>
    <n v="161000"/>
  </r>
  <r>
    <x v="2"/>
    <x v="1"/>
    <x v="35"/>
    <d v="2020-06-21T00:00:00"/>
    <n v="8050"/>
    <x v="3"/>
    <n v="109"/>
    <x v="13"/>
    <n v="60"/>
    <n v="1970"/>
    <n v="118200"/>
  </r>
  <r>
    <x v="2"/>
    <x v="1"/>
    <x v="36"/>
    <d v="2020-06-22T00:00:00"/>
    <n v="8060"/>
    <x v="2"/>
    <n v="108"/>
    <x v="7"/>
    <n v="80"/>
    <n v="2630"/>
    <n v="210400"/>
  </r>
  <r>
    <x v="2"/>
    <x v="1"/>
    <x v="36"/>
    <d v="2020-06-23T00:00:00"/>
    <n v="8060"/>
    <x v="2"/>
    <n v="109"/>
    <x v="13"/>
    <n v="80"/>
    <n v="2630"/>
    <n v="210400"/>
  </r>
  <r>
    <x v="2"/>
    <x v="1"/>
    <x v="36"/>
    <d v="2020-06-24T00:00:00"/>
    <n v="8060"/>
    <x v="2"/>
    <n v="110"/>
    <x v="14"/>
    <n v="50"/>
    <n v="3520"/>
    <n v="176000"/>
  </r>
  <r>
    <x v="2"/>
    <x v="1"/>
    <x v="37"/>
    <d v="2020-06-25T00:00:00"/>
    <n v="8050"/>
    <x v="3"/>
    <n v="111"/>
    <x v="15"/>
    <n v="60"/>
    <n v="1410"/>
    <n v="84600"/>
  </r>
  <r>
    <x v="2"/>
    <x v="1"/>
    <x v="37"/>
    <d v="2020-06-26T00:00:00"/>
    <n v="8050"/>
    <x v="3"/>
    <n v="108"/>
    <x v="7"/>
    <n v="60"/>
    <n v="1970"/>
    <n v="118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3387C-ED91-47BD-8E11-5FA5245915F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0:O31" firstHeaderRow="1" firstDataRow="1" firstDataCol="1"/>
  <pivotFields count="11">
    <pivotField showAll="0">
      <items count="4">
        <item x="0"/>
        <item x="1"/>
        <item x="2"/>
        <item t="default"/>
      </items>
    </pivotField>
    <pivotField showAll="0">
      <items count="4">
        <item h="1" x="2"/>
        <item h="1" x="1"/>
        <item x="0"/>
        <item t="default"/>
      </items>
    </pivotField>
    <pivotField showAll="0">
      <items count="3">
        <item x="0"/>
        <item h="1" x="1"/>
        <item t="default"/>
      </items>
    </pivotField>
    <pivotField showAll="0"/>
    <pivotField axis="axisRow" numFmtId="1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2">
    <field x="8"/>
    <field x="4"/>
  </rowFields>
  <rowItems count="11">
    <i>
      <x v="13"/>
    </i>
    <i r="1">
      <x v="3"/>
    </i>
    <i r="1">
      <x v="6"/>
    </i>
    <i r="1">
      <x v="8"/>
    </i>
    <i r="1">
      <x v="10"/>
    </i>
    <i r="1">
      <x v="13"/>
    </i>
    <i r="1">
      <x v="15"/>
    </i>
    <i r="1">
      <x v="17"/>
    </i>
    <i r="1">
      <x v="19"/>
    </i>
    <i r="1">
      <x v="20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filters count="1">
    <filter fld="4" type="M6" evalOrder="-1" id="1">
      <autoFilter ref="A1">
        <filterColumn colId="0">
          <dynamicFilter type="M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AE700-C671-43EB-9DB8-5EBA108378C3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pageFields count="1">
    <pageField fld="2" hier="2" name="[salesdata].[Region].&amp;[America]" cap="America"/>
  </pageFields>
  <dataFields count="1">
    <dataField name="Sum of Total Sales" fld="1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rbor_excel_Case Study 2(Pivot Table).xlsx!salesdata"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EF10A-CD67-4C12-8BB4-FEE3B9E5C03A}" name="PivotTable1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10" firstHeaderRow="1" firstDataRow="1" firstDataCol="1" rowPageCount="2" colPageCount="1"/>
  <pivotFields count="11">
    <pivotField showAll="0"/>
    <pivotField axis="axisPage" showAll="0">
      <items count="4"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dataField="1"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showAll="0"/>
  </pivotFields>
  <rowFields count="1">
    <field x="8"/>
  </rowFields>
  <rowItems count="5">
    <i>
      <x v="12"/>
    </i>
    <i>
      <x v="13"/>
    </i>
    <i>
      <x v="14"/>
    </i>
    <i>
      <x v="15"/>
    </i>
    <i t="grand">
      <x/>
    </i>
  </rowItems>
  <colItems count="1">
    <i/>
  </colItems>
  <pageFields count="2">
    <pageField fld="2" item="0" hier="-1"/>
    <pageField fld="1" item="2" hier="-1"/>
  </pageFields>
  <dataFields count="1">
    <dataField name="Count of Product Code" fld="7" subtotal="count" baseField="8" baseItem="1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22412-0337-459D-ADCF-BED460F98555}" name="PivotTable3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0" firstHeaderRow="1" firstDataRow="1" firstDataCol="1" rowPageCount="1" colPageCount="1"/>
  <pivotFields count="11"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numFmtId="164"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h="1" x="2"/>
        <item h="1" x="1"/>
        <item x="0"/>
        <item t="default"/>
      </items>
    </pivotField>
    <pivotField dataField="1" showAll="0"/>
    <pivotField showAll="0"/>
  </pivotFields>
  <rowFields count="1">
    <field x="8"/>
  </rowFields>
  <rowItems count="2">
    <i>
      <x v="15"/>
    </i>
    <i t="grand">
      <x/>
    </i>
  </rowItems>
  <colItems count="1">
    <i/>
  </colItems>
  <pageFields count="1">
    <pageField fld="6" item="1" hier="-1"/>
  </pageField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85BD6-46C0-4AEE-89A1-C4E4262F74AE}" name="PivotTable4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87" firstHeaderRow="1" firstDataRow="1" firstDataCol="1"/>
  <pivotFields count="11">
    <pivotField showAll="0"/>
    <pivotField showAll="0"/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2">
    <field x="3"/>
    <field x="6"/>
  </rowFields>
  <rowItems count="79">
    <i>
      <x/>
    </i>
    <i r="1">
      <x v="2"/>
    </i>
    <i>
      <x v="1"/>
    </i>
    <i r="1">
      <x v="2"/>
    </i>
    <i>
      <x v="2"/>
    </i>
    <i r="1">
      <x v="1"/>
    </i>
    <i>
      <x v="3"/>
    </i>
    <i r="1">
      <x v="2"/>
    </i>
    <i>
      <x v="4"/>
    </i>
    <i r="1">
      <x v="3"/>
    </i>
    <i>
      <x v="5"/>
    </i>
    <i r="1">
      <x/>
    </i>
    <i>
      <x v="6"/>
    </i>
    <i r="1">
      <x v="3"/>
    </i>
    <i>
      <x v="7"/>
    </i>
    <i r="1">
      <x v="3"/>
    </i>
    <i>
      <x v="8"/>
    </i>
    <i r="1">
      <x/>
    </i>
    <i>
      <x v="9"/>
    </i>
    <i r="1">
      <x v="3"/>
    </i>
    <i>
      <x v="10"/>
    </i>
    <i r="1">
      <x/>
    </i>
    <i>
      <x v="11"/>
    </i>
    <i r="1">
      <x v="3"/>
    </i>
    <i>
      <x v="12"/>
    </i>
    <i r="1">
      <x/>
    </i>
    <i>
      <x v="13"/>
    </i>
    <i r="1">
      <x/>
    </i>
    <i>
      <x v="14"/>
    </i>
    <i r="1">
      <x v="3"/>
    </i>
    <i>
      <x v="15"/>
    </i>
    <i r="1">
      <x/>
    </i>
    <i>
      <x v="16"/>
    </i>
    <i r="1">
      <x v="3"/>
    </i>
    <i>
      <x v="17"/>
    </i>
    <i r="1">
      <x/>
    </i>
    <i>
      <x v="18"/>
    </i>
    <i r="1">
      <x v="3"/>
    </i>
    <i>
      <x v="19"/>
    </i>
    <i r="1">
      <x v="3"/>
    </i>
    <i>
      <x v="20"/>
    </i>
    <i r="1">
      <x/>
    </i>
    <i>
      <x v="21"/>
    </i>
    <i r="1">
      <x v="3"/>
    </i>
    <i>
      <x v="22"/>
    </i>
    <i r="1">
      <x v="2"/>
    </i>
    <i>
      <x v="23"/>
    </i>
    <i r="1">
      <x v="1"/>
    </i>
    <i>
      <x v="24"/>
    </i>
    <i r="1">
      <x v="2"/>
    </i>
    <i>
      <x v="25"/>
    </i>
    <i r="1">
      <x v="2"/>
    </i>
    <i>
      <x v="26"/>
    </i>
    <i r="1">
      <x v="1"/>
    </i>
    <i r="1">
      <x v="2"/>
    </i>
    <i>
      <x v="27"/>
    </i>
    <i r="1">
      <x v="1"/>
    </i>
    <i>
      <x v="28"/>
    </i>
    <i r="1">
      <x v="2"/>
    </i>
    <i>
      <x v="29"/>
    </i>
    <i r="1">
      <x v="1"/>
    </i>
    <i>
      <x v="30"/>
    </i>
    <i r="1">
      <x v="1"/>
    </i>
    <i>
      <x v="31"/>
    </i>
    <i r="1">
      <x v="2"/>
    </i>
    <i>
      <x v="32"/>
    </i>
    <i r="1">
      <x v="1"/>
    </i>
    <i>
      <x v="33"/>
    </i>
    <i r="1">
      <x v="1"/>
    </i>
    <i>
      <x v="34"/>
    </i>
    <i r="1">
      <x v="2"/>
    </i>
    <i>
      <x v="35"/>
    </i>
    <i r="1">
      <x v="1"/>
    </i>
    <i>
      <x v="36"/>
    </i>
    <i r="1">
      <x v="1"/>
    </i>
    <i>
      <x v="37"/>
    </i>
    <i r="1">
      <x v="1"/>
    </i>
    <i r="1">
      <x v="2"/>
    </i>
    <i t="grand">
      <x/>
    </i>
  </rowItems>
  <colItems count="1">
    <i/>
  </colItems>
  <dataFields count="1">
    <dataField name="Average of Quantity" fld="9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3F785-A0D7-47A2-8306-CE20C7F797C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2:G23" firstHeaderRow="1" firstDataRow="1" firstDataCol="1"/>
  <pivotFields count="11">
    <pivotField showAll="0">
      <items count="4">
        <item x="0"/>
        <item x="1"/>
        <item x="2"/>
        <item t="default"/>
      </items>
    </pivotField>
    <pivotField showAll="0">
      <items count="4">
        <item h="1" x="2"/>
        <item h="1" x="1"/>
        <item x="0"/>
        <item t="default"/>
      </items>
    </pivotField>
    <pivotField showAll="0">
      <items count="3">
        <item x="0"/>
        <item h="1" x="1"/>
        <item t="default"/>
      </items>
    </pivotField>
    <pivotField showAll="0"/>
    <pivotField axis="axisRow" numFmtId="1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2">
    <field x="8"/>
    <field x="4"/>
  </rowFields>
  <rowItems count="11">
    <i>
      <x v="13"/>
    </i>
    <i r="1">
      <x v="3"/>
    </i>
    <i r="1">
      <x v="6"/>
    </i>
    <i r="1">
      <x v="8"/>
    </i>
    <i r="1">
      <x v="10"/>
    </i>
    <i r="1">
      <x v="13"/>
    </i>
    <i r="1">
      <x v="15"/>
    </i>
    <i r="1">
      <x v="17"/>
    </i>
    <i r="1">
      <x v="19"/>
    </i>
    <i r="1">
      <x v="20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filters count="1">
    <filter fld="4" type="M6" evalOrder="-1" id="1">
      <autoFilter ref="A1">
        <filterColumn colId="0">
          <dynamicFilter type="M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CA2E5-FBD4-4A83-A3EB-867AC320464F}" name="PivotTable8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E16" firstHeaderRow="1" firstDataRow="1" firstDataCol="1"/>
  <pivotFields count="11">
    <pivotField axis="axisRow" showAll="0">
      <items count="4">
        <item h="1" x="2"/>
        <item h="1" x="1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axis="axisRow" showAll="0" sortType="descending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2">
    <field x="0"/>
    <field x="7"/>
  </rowFields>
  <rowItems count="6">
    <i>
      <x v="2"/>
    </i>
    <i r="1">
      <x v="14"/>
    </i>
    <i r="1">
      <x v="15"/>
    </i>
    <i r="1">
      <x v="13"/>
    </i>
    <i r="1">
      <x v="12"/>
    </i>
    <i t="grand">
      <x/>
    </i>
  </rowItems>
  <colItems count="1">
    <i/>
  </colItems>
  <dataFields count="1">
    <dataField name="Sum of Total Sales" fld="10" baseField="0" baseItem="0"/>
  </dataFields>
  <formats count="2">
    <format dxfId="1">
      <pivotArea collapsedLevelsAreSubtotals="1" fieldPosition="0">
        <references count="2">
          <reference field="0" count="0" selected="0"/>
          <reference field="7" count="1">
            <x v="14"/>
          </reference>
        </references>
      </pivotArea>
    </format>
    <format dxfId="0">
      <pivotArea dataOnly="0" labelOnly="1" fieldPosition="0">
        <references count="2">
          <reference field="0" count="0" selected="0"/>
          <reference field="7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4CAF6-D947-49DF-9090-780D980D3EE2}" name="PivotTable9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26" firstHeaderRow="1" firstDataRow="1" firstDataCol="1"/>
  <pivotFields count="11"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7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4B3E3-FD3D-444F-9117-50A095292952}" name="PivotTable10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:D27" firstHeaderRow="0" firstDataRow="1" firstDataCol="1" rowPageCount="2" colPageCount="1"/>
  <pivotFields count="11">
    <pivotField axis="axisPage" showAll="0">
      <items count="4"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7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" hier="-1"/>
  </pageFields>
  <dataFields count="2">
    <dataField name="Average of Total Sales" fld="10" subtotal="average" baseField="2" baseItem="0"/>
    <dataField name="Sum of Sales Docume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96CFE-B13E-42C2-825E-71623E66CB6E}" name="PivotTable1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:C15" firstHeaderRow="1" firstDataRow="1" firstDataCol="1"/>
  <pivotFields count="11">
    <pivotField showAll="0"/>
    <pivotField showAll="0"/>
    <pivotField dataField="1" showAll="0"/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 Document" fld="2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5AC72-4911-4F02-9D9F-E61A7747E246}" name="PivotTable13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53" firstHeaderRow="1" firstDataRow="1" firstDataCol="1"/>
  <pivotFields count="11">
    <pivotField showAll="0"/>
    <pivotField showAll="0"/>
    <pivotField showAll="0"/>
    <pivotField showAll="0"/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</pivotFields>
  <rowFields count="2">
    <field x="8"/>
    <field x="6"/>
  </rowFields>
  <rowItems count="45">
    <i>
      <x/>
    </i>
    <i r="1">
      <x/>
    </i>
    <i r="1">
      <x v="2"/>
    </i>
    <i r="1">
      <x v="3"/>
    </i>
    <i>
      <x v="1"/>
    </i>
    <i r="1">
      <x/>
    </i>
    <i r="1">
      <x v="3"/>
    </i>
    <i>
      <x v="2"/>
    </i>
    <i r="1">
      <x v="1"/>
    </i>
    <i r="1">
      <x v="2"/>
    </i>
    <i>
      <x v="3"/>
    </i>
    <i r="1">
      <x v="2"/>
    </i>
    <i>
      <x v="4"/>
    </i>
    <i r="1">
      <x v="2"/>
    </i>
    <i>
      <x v="5"/>
    </i>
    <i r="1">
      <x v="1"/>
    </i>
    <i r="1">
      <x v="2"/>
    </i>
    <i>
      <x v="6"/>
    </i>
    <i r="1">
      <x v="1"/>
    </i>
    <i r="1">
      <x v="2"/>
    </i>
    <i>
      <x v="7"/>
    </i>
    <i r="1">
      <x v="1"/>
    </i>
    <i r="1">
      <x v="2"/>
    </i>
    <i>
      <x v="8"/>
    </i>
    <i r="1">
      <x v="1"/>
    </i>
    <i r="1">
      <x v="2"/>
    </i>
    <i>
      <x v="9"/>
    </i>
    <i r="1">
      <x/>
    </i>
    <i r="1">
      <x v="3"/>
    </i>
    <i>
      <x v="10"/>
    </i>
    <i r="1">
      <x/>
    </i>
    <i>
      <x v="11"/>
    </i>
    <i r="1">
      <x v="1"/>
    </i>
    <i>
      <x v="12"/>
    </i>
    <i r="1">
      <x v="2"/>
    </i>
    <i>
      <x v="13"/>
    </i>
    <i r="1">
      <x v="1"/>
    </i>
    <i r="1">
      <x v="2"/>
    </i>
    <i>
      <x v="14"/>
    </i>
    <i r="1">
      <x v="1"/>
    </i>
    <i r="1">
      <x v="2"/>
    </i>
    <i>
      <x v="15"/>
    </i>
    <i r="1">
      <x v="1"/>
    </i>
    <i r="1">
      <x v="2"/>
    </i>
    <i t="grand">
      <x/>
    </i>
  </rowItems>
  <colItems count="1">
    <i/>
  </colItems>
  <dataFields count="1">
    <dataField name="Average of Sales USD" fld="10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0D0B6-927F-4383-8FDD-0571470CB079}" name="PivotTable15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0:D12" firstHeaderRow="1" firstDataRow="1" firstDataCol="1"/>
  <pivotFields count="11">
    <pivotField showAll="0"/>
    <pivotField showAll="0"/>
    <pivotField showAll="0"/>
    <pivotField axis="axisRow" showAll="0" sortType="descending">
      <items count="39">
        <item h="1" x="16"/>
        <item h="1" x="17"/>
        <item h="1" x="19"/>
        <item h="1" x="18"/>
        <item h="1" x="29"/>
        <item h="1" x="31"/>
        <item h="1" x="30"/>
        <item h="1" x="20"/>
        <item h="1" x="22"/>
        <item h="1" x="21"/>
        <item h="1" x="35"/>
        <item h="1" x="36"/>
        <item h="1" x="37"/>
        <item h="1" x="26"/>
        <item h="1" x="27"/>
        <item h="1" x="28"/>
        <item x="32"/>
        <item h="1" x="33"/>
        <item h="1" x="34"/>
        <item h="1" x="23"/>
        <item h="1" x="24"/>
        <item h="1" x="25"/>
        <item h="1" x="13"/>
        <item h="1" x="14"/>
        <item h="1" x="15"/>
        <item h="1" x="5"/>
        <item h="1" x="6"/>
        <item h="1" x="7"/>
        <item h="1" x="9"/>
        <item h="1" x="8"/>
        <item h="1" x="0"/>
        <item h="1" x="2"/>
        <item h="1" x="1"/>
        <item h="1" x="10"/>
        <item h="1" x="11"/>
        <item h="1" x="12"/>
        <item h="1"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">
    <i>
      <x v="16"/>
    </i>
    <i t="grand">
      <x/>
    </i>
  </rowItems>
  <colItems count="1">
    <i/>
  </colItems>
  <dataFields count="1">
    <dataField name="Max of Sales USD" fld="10" subtotal="max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45345-FB1D-4FC2-BF62-232C12096635}" name="PivotTable16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:C23" firstHeaderRow="1" firstDataRow="1" firstDataCol="1" rowPageCount="1" colPageCount="1"/>
  <pivotFields count="11">
    <pivotField showAll="0"/>
    <pivotField showAll="0"/>
    <pivotField showAll="0"/>
    <pivotField showAll="0"/>
    <pivotField numFmtId="164"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1">
    <field x="8"/>
  </rowFields>
  <rowItems count="13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6" item="2" hier="-1"/>
  </pageField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288E5-458A-41CD-BAD5-DC74669958DB}" name="PivotTable17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26" firstHeaderRow="1" firstDataRow="1" firstDataCol="1" rowPageCount="1" colPageCount="1"/>
  <pivotFields count="11">
    <pivotField showAll="0"/>
    <pivotField axis="axisPage" showAll="0">
      <items count="4">
        <item x="2"/>
        <item x="1"/>
        <item x="0"/>
        <item t="default"/>
      </items>
    </pivotField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7"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pageFields count="1">
    <pageField fld="1" item="2" hier="-1"/>
  </pageFields>
  <dataFields count="1">
    <dataField name="Average of Sales USD" fld="10" subtotal="average" baseField="3" baseItem="2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C2919-24EC-4A98-9B2F-33E086296456}" name="PivotTable18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22" firstHeaderRow="1" firstDataRow="1" firstDataCol="1" rowPageCount="1" colPageCount="1"/>
  <pivotFields count="11"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1">
    <field x="8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2" item="0" hier="-1"/>
  </pageFields>
  <dataFields count="1">
    <dataField name="Total Quantity Sold" fld="9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27C07-72AD-450D-9244-F11244B3FAA5}" name="SalesData" displayName="SalesData" ref="A2:L107" totalsRowShown="0" headerRowDxfId="18" dataDxfId="16" headerRowBorderDxfId="17" tableBorderDxfId="15" totalsRowBorderDxfId="14">
  <autoFilter ref="A2:L107" xr:uid="{B3927C07-72AD-450D-9244-F11244B3FAA5}"/>
  <tableColumns count="12">
    <tableColumn id="1" xr3:uid="{8FF508AF-A4B1-4303-A717-709D017570C4}" name="Company" dataDxfId="13"/>
    <tableColumn id="2" xr3:uid="{CF301B5E-B633-4B57-B1D9-B68DD6B89DC4}" name="Company Name" dataDxfId="12"/>
    <tableColumn id="3" xr3:uid="{8AE0B328-BF2A-4594-8295-3E28B8ADA716}" name="Region" dataDxfId="11"/>
    <tableColumn id="4" xr3:uid="{CE92F8AE-EF89-4726-9FB6-D3B87DADFBDE}" name="Sales Document" dataDxfId="10"/>
    <tableColumn id="5" xr3:uid="{8A148EE5-F1F7-49CF-9569-EDE7168AD36C}" name="Document Date" dataDxfId="9"/>
    <tableColumn id="6" xr3:uid="{F473585C-8AC1-4D9B-B5BD-5C8F949193D6}" name="Customer Code" dataDxfId="8"/>
    <tableColumn id="7" xr3:uid="{C82EB0CF-E39F-47F7-ABA1-D7595ABD164A}" name="Customer Name" dataDxfId="7"/>
    <tableColumn id="8" xr3:uid="{22EBF275-AD47-4F61-841A-E664EF46DAF7}" name="Product Code" dataDxfId="6"/>
    <tableColumn id="9" xr3:uid="{588CEC0C-3CB4-48F9-A086-A9C32B067A15}" name="Product Description" dataDxfId="5"/>
    <tableColumn id="10" xr3:uid="{5EC74E3E-E918-4E84-A2C5-47D2FC9B5F03}" name="Quantity" dataDxfId="4"/>
    <tableColumn id="11" xr3:uid="{15BBA754-97E5-40E6-BC17-B9E9F5E92F78}" name="Sales USD" dataDxfId="3"/>
    <tableColumn id="12" xr3:uid="{9D86F24B-712F-465A-AAAC-7C96D745B6B1}" name="Total Sales" dataDxfId="2">
      <calculatedColumnFormula>SalesData[[#This Row],[Sales USD]]*SalesData[[#This Row],[Quantity]]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3828-A4B2-47B5-9316-2FD6D8966257}">
  <dimension ref="A1:O107"/>
  <sheetViews>
    <sheetView topLeftCell="A81" workbookViewId="0">
      <selection activeCell="M18" sqref="M18"/>
    </sheetView>
  </sheetViews>
  <sheetFormatPr defaultRowHeight="14.4" x14ac:dyDescent="0.3"/>
  <cols>
    <col min="1" max="1" width="13.5546875" bestFit="1" customWidth="1"/>
    <col min="2" max="2" width="13.6640625" bestFit="1" customWidth="1"/>
    <col min="3" max="3" width="11.33203125" bestFit="1" customWidth="1"/>
    <col min="4" max="5" width="12.44140625" bestFit="1" customWidth="1"/>
    <col min="6" max="7" width="12.88671875" bestFit="1" customWidth="1"/>
    <col min="8" max="8" width="12.109375" bestFit="1" customWidth="1"/>
    <col min="9" max="9" width="23.88671875" bestFit="1" customWidth="1"/>
    <col min="10" max="10" width="12.6640625" bestFit="1" customWidth="1"/>
    <col min="11" max="11" width="13.6640625" bestFit="1" customWidth="1"/>
    <col min="12" max="13" width="13.6640625" customWidth="1"/>
    <col min="14" max="14" width="22.33203125" bestFit="1" customWidth="1"/>
    <col min="15" max="15" width="15.6640625" bestFit="1" customWidth="1"/>
    <col min="16" max="17" width="10.6640625" bestFit="1" customWidth="1"/>
  </cols>
  <sheetData>
    <row r="1" spans="1:13" x14ac:dyDescent="0.3">
      <c r="M1" s="16"/>
    </row>
    <row r="2" spans="1:13" ht="28.8" x14ac:dyDescent="0.3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4" t="s">
        <v>10</v>
      </c>
      <c r="L2" s="19" t="s">
        <v>57</v>
      </c>
      <c r="M2" s="16"/>
    </row>
    <row r="3" spans="1:13" x14ac:dyDescent="0.3">
      <c r="A3" s="5" t="s">
        <v>11</v>
      </c>
      <c r="B3" s="6" t="s">
        <v>12</v>
      </c>
      <c r="C3" s="6" t="s">
        <v>13</v>
      </c>
      <c r="D3" s="6">
        <v>66030</v>
      </c>
      <c r="E3" s="7">
        <v>43983</v>
      </c>
      <c r="F3" s="6">
        <v>8010</v>
      </c>
      <c r="G3" s="6" t="s">
        <v>14</v>
      </c>
      <c r="H3" s="6">
        <v>103</v>
      </c>
      <c r="I3" s="6" t="s">
        <v>15</v>
      </c>
      <c r="J3" s="6">
        <v>120</v>
      </c>
      <c r="K3" s="8">
        <v>1440</v>
      </c>
      <c r="L3" s="18">
        <f>SalesData[[#This Row],[Sales USD]]*SalesData[[#This Row],[Quantity]]</f>
        <v>172800</v>
      </c>
    </row>
    <row r="4" spans="1:13" x14ac:dyDescent="0.3">
      <c r="A4" s="5" t="s">
        <v>11</v>
      </c>
      <c r="B4" s="6" t="s">
        <v>12</v>
      </c>
      <c r="C4" s="6" t="s">
        <v>13</v>
      </c>
      <c r="D4" s="6">
        <v>66030</v>
      </c>
      <c r="E4" s="7">
        <v>43984</v>
      </c>
      <c r="F4" s="6">
        <v>8010</v>
      </c>
      <c r="G4" s="6" t="s">
        <v>14</v>
      </c>
      <c r="H4" s="6">
        <v>104</v>
      </c>
      <c r="I4" s="6" t="s">
        <v>17</v>
      </c>
      <c r="J4" s="6">
        <v>150</v>
      </c>
      <c r="K4" s="8">
        <v>1800</v>
      </c>
      <c r="L4" s="6">
        <f>SalesData[[#This Row],[Sales USD]]*SalesData[[#This Row],[Quantity]]</f>
        <v>270000</v>
      </c>
    </row>
    <row r="5" spans="1:13" x14ac:dyDescent="0.3">
      <c r="A5" s="5" t="s">
        <v>11</v>
      </c>
      <c r="B5" s="6" t="s">
        <v>12</v>
      </c>
      <c r="C5" s="6" t="s">
        <v>13</v>
      </c>
      <c r="D5" s="6">
        <v>66032</v>
      </c>
      <c r="E5" s="7">
        <v>43983</v>
      </c>
      <c r="F5" s="6">
        <v>8010</v>
      </c>
      <c r="G5" s="6" t="s">
        <v>14</v>
      </c>
      <c r="H5" s="6">
        <v>103</v>
      </c>
      <c r="I5" s="6" t="s">
        <v>15</v>
      </c>
      <c r="J5" s="6">
        <v>170</v>
      </c>
      <c r="K5" s="8">
        <v>2040</v>
      </c>
      <c r="L5" s="6">
        <f>SalesData[[#This Row],[Sales USD]]*SalesData[[#This Row],[Quantity]]</f>
        <v>346800</v>
      </c>
    </row>
    <row r="6" spans="1:13" x14ac:dyDescent="0.3">
      <c r="A6" s="5" t="s">
        <v>11</v>
      </c>
      <c r="B6" s="6" t="s">
        <v>12</v>
      </c>
      <c r="C6" s="6" t="s">
        <v>13</v>
      </c>
      <c r="D6" s="6">
        <v>66032</v>
      </c>
      <c r="E6" s="7">
        <v>43984</v>
      </c>
      <c r="F6" s="6">
        <v>8010</v>
      </c>
      <c r="G6" s="6" t="s">
        <v>14</v>
      </c>
      <c r="H6" s="6">
        <v>104</v>
      </c>
      <c r="I6" s="6" t="s">
        <v>17</v>
      </c>
      <c r="J6" s="6">
        <v>140</v>
      </c>
      <c r="K6" s="8">
        <v>1680</v>
      </c>
      <c r="L6" s="6">
        <f>SalesData[[#This Row],[Sales USD]]*SalesData[[#This Row],[Quantity]]</f>
        <v>235200</v>
      </c>
    </row>
    <row r="7" spans="1:13" x14ac:dyDescent="0.3">
      <c r="A7" s="5" t="s">
        <v>11</v>
      </c>
      <c r="B7" s="6" t="s">
        <v>12</v>
      </c>
      <c r="C7" s="6" t="s">
        <v>13</v>
      </c>
      <c r="D7" s="6">
        <v>66031</v>
      </c>
      <c r="E7" s="7">
        <v>43983</v>
      </c>
      <c r="F7" s="6">
        <v>8020</v>
      </c>
      <c r="G7" s="6" t="s">
        <v>21</v>
      </c>
      <c r="H7" s="6">
        <v>103</v>
      </c>
      <c r="I7" s="6" t="s">
        <v>15</v>
      </c>
      <c r="J7" s="6">
        <v>140</v>
      </c>
      <c r="K7" s="8">
        <v>1680</v>
      </c>
      <c r="L7" s="6">
        <f>SalesData[[#This Row],[Sales USD]]*SalesData[[#This Row],[Quantity]]</f>
        <v>235200</v>
      </c>
    </row>
    <row r="8" spans="1:13" x14ac:dyDescent="0.3">
      <c r="A8" s="5" t="s">
        <v>11</v>
      </c>
      <c r="B8" s="6" t="s">
        <v>12</v>
      </c>
      <c r="C8" s="6" t="s">
        <v>13</v>
      </c>
      <c r="D8" s="6">
        <v>66031</v>
      </c>
      <c r="E8" s="7">
        <v>43984</v>
      </c>
      <c r="F8" s="6">
        <v>8020</v>
      </c>
      <c r="G8" s="6" t="s">
        <v>21</v>
      </c>
      <c r="H8" s="6">
        <v>104</v>
      </c>
      <c r="I8" s="6" t="s">
        <v>17</v>
      </c>
      <c r="J8" s="6">
        <v>150</v>
      </c>
      <c r="K8" s="8">
        <v>1800</v>
      </c>
      <c r="L8" s="6">
        <f>SalesData[[#This Row],[Sales USD]]*SalesData[[#This Row],[Quantity]]</f>
        <v>270000</v>
      </c>
    </row>
    <row r="9" spans="1:13" x14ac:dyDescent="0.3">
      <c r="A9" s="5" t="s">
        <v>11</v>
      </c>
      <c r="B9" s="6" t="s">
        <v>12</v>
      </c>
      <c r="C9" s="6" t="s">
        <v>13</v>
      </c>
      <c r="D9" s="6">
        <v>66031</v>
      </c>
      <c r="E9" s="7">
        <v>43989</v>
      </c>
      <c r="F9" s="6">
        <v>8020</v>
      </c>
      <c r="G9" s="6" t="s">
        <v>21</v>
      </c>
      <c r="H9" s="6">
        <v>105</v>
      </c>
      <c r="I9" s="6" t="s">
        <v>24</v>
      </c>
      <c r="J9" s="6">
        <v>100</v>
      </c>
      <c r="K9" s="8">
        <v>1000</v>
      </c>
      <c r="L9" s="6">
        <f>SalesData[[#This Row],[Sales USD]]*SalesData[[#This Row],[Quantity]]</f>
        <v>100000</v>
      </c>
    </row>
    <row r="10" spans="1:13" x14ac:dyDescent="0.3">
      <c r="A10" s="5" t="s">
        <v>11</v>
      </c>
      <c r="B10" s="6" t="s">
        <v>12</v>
      </c>
      <c r="C10" s="6" t="s">
        <v>13</v>
      </c>
      <c r="D10" s="6">
        <v>68112</v>
      </c>
      <c r="E10" s="7">
        <v>43990</v>
      </c>
      <c r="F10" s="6">
        <v>8010</v>
      </c>
      <c r="G10" s="6" t="s">
        <v>14</v>
      </c>
      <c r="H10" s="6">
        <v>104</v>
      </c>
      <c r="I10" s="6" t="s">
        <v>17</v>
      </c>
      <c r="J10" s="6">
        <v>180</v>
      </c>
      <c r="K10" s="8">
        <v>2160</v>
      </c>
      <c r="L10" s="6">
        <f>SalesData[[#This Row],[Sales USD]]*SalesData[[#This Row],[Quantity]]</f>
        <v>388800</v>
      </c>
    </row>
    <row r="11" spans="1:13" x14ac:dyDescent="0.3">
      <c r="A11" s="5" t="s">
        <v>11</v>
      </c>
      <c r="B11" s="6" t="s">
        <v>12</v>
      </c>
      <c r="C11" s="6" t="s">
        <v>13</v>
      </c>
      <c r="D11" s="6">
        <v>68112</v>
      </c>
      <c r="E11" s="7">
        <v>43991</v>
      </c>
      <c r="F11" s="6">
        <v>8010</v>
      </c>
      <c r="G11" s="6" t="s">
        <v>14</v>
      </c>
      <c r="H11" s="6">
        <v>105</v>
      </c>
      <c r="I11" s="6" t="s">
        <v>24</v>
      </c>
      <c r="J11" s="6">
        <v>120</v>
      </c>
      <c r="K11" s="8">
        <v>1200</v>
      </c>
      <c r="L11" s="6">
        <f>SalesData[[#This Row],[Sales USD]]*SalesData[[#This Row],[Quantity]]</f>
        <v>144000</v>
      </c>
    </row>
    <row r="12" spans="1:13" x14ac:dyDescent="0.3">
      <c r="A12" s="5" t="s">
        <v>11</v>
      </c>
      <c r="B12" s="6" t="s">
        <v>12</v>
      </c>
      <c r="C12" s="6" t="s">
        <v>13</v>
      </c>
      <c r="D12" s="6">
        <v>68116</v>
      </c>
      <c r="E12" s="7">
        <v>43992</v>
      </c>
      <c r="F12" s="6">
        <v>8020</v>
      </c>
      <c r="G12" s="6" t="s">
        <v>21</v>
      </c>
      <c r="H12" s="6">
        <v>104</v>
      </c>
      <c r="I12" s="6" t="s">
        <v>17</v>
      </c>
      <c r="J12" s="6">
        <v>150</v>
      </c>
      <c r="K12" s="8">
        <v>1800</v>
      </c>
      <c r="L12" s="6">
        <f>SalesData[[#This Row],[Sales USD]]*SalesData[[#This Row],[Quantity]]</f>
        <v>270000</v>
      </c>
    </row>
    <row r="13" spans="1:13" x14ac:dyDescent="0.3">
      <c r="A13" s="5" t="s">
        <v>11</v>
      </c>
      <c r="B13" s="6" t="s">
        <v>12</v>
      </c>
      <c r="C13" s="6" t="s">
        <v>13</v>
      </c>
      <c r="D13" s="6">
        <v>68116</v>
      </c>
      <c r="E13" s="7">
        <v>43993</v>
      </c>
      <c r="F13" s="6">
        <v>8020</v>
      </c>
      <c r="G13" s="6" t="s">
        <v>21</v>
      </c>
      <c r="H13" s="6">
        <v>105</v>
      </c>
      <c r="I13" s="6" t="s">
        <v>24</v>
      </c>
      <c r="J13" s="6">
        <v>190</v>
      </c>
      <c r="K13" s="8">
        <v>1900</v>
      </c>
      <c r="L13" s="6">
        <f>SalesData[[#This Row],[Sales USD]]*SalesData[[#This Row],[Quantity]]</f>
        <v>361000</v>
      </c>
    </row>
    <row r="14" spans="1:13" x14ac:dyDescent="0.3">
      <c r="A14" s="5" t="s">
        <v>11</v>
      </c>
      <c r="B14" s="6" t="s">
        <v>12</v>
      </c>
      <c r="C14" s="6" t="s">
        <v>13</v>
      </c>
      <c r="D14" s="6">
        <v>68116</v>
      </c>
      <c r="E14" s="7">
        <v>43994</v>
      </c>
      <c r="F14" s="6">
        <v>8020</v>
      </c>
      <c r="G14" s="6" t="s">
        <v>21</v>
      </c>
      <c r="H14" s="6">
        <v>107</v>
      </c>
      <c r="I14" s="6" t="s">
        <v>30</v>
      </c>
      <c r="J14" s="6">
        <v>160</v>
      </c>
      <c r="K14" s="8">
        <v>800</v>
      </c>
      <c r="L14" s="6">
        <f>SalesData[[#This Row],[Sales USD]]*SalesData[[#This Row],[Quantity]]</f>
        <v>128000</v>
      </c>
    </row>
    <row r="15" spans="1:13" x14ac:dyDescent="0.3">
      <c r="A15" s="5" t="s">
        <v>11</v>
      </c>
      <c r="B15" s="6" t="s">
        <v>12</v>
      </c>
      <c r="C15" s="6" t="s">
        <v>13</v>
      </c>
      <c r="D15" s="6">
        <v>68116</v>
      </c>
      <c r="E15" s="7">
        <v>43995</v>
      </c>
      <c r="F15" s="6">
        <v>8010</v>
      </c>
      <c r="G15" s="6" t="s">
        <v>14</v>
      </c>
      <c r="H15" s="6">
        <v>104</v>
      </c>
      <c r="I15" s="6" t="s">
        <v>17</v>
      </c>
      <c r="J15" s="6">
        <v>160</v>
      </c>
      <c r="K15" s="8">
        <v>1920</v>
      </c>
      <c r="L15" s="6">
        <f>SalesData[[#This Row],[Sales USD]]*SalesData[[#This Row],[Quantity]]</f>
        <v>307200</v>
      </c>
    </row>
    <row r="16" spans="1:13" x14ac:dyDescent="0.3">
      <c r="A16" s="5" t="s">
        <v>11</v>
      </c>
      <c r="B16" s="6" t="s">
        <v>12</v>
      </c>
      <c r="C16" s="6" t="s">
        <v>13</v>
      </c>
      <c r="D16" s="6">
        <v>68116</v>
      </c>
      <c r="E16" s="7">
        <v>43996</v>
      </c>
      <c r="F16" s="6">
        <v>8010</v>
      </c>
      <c r="G16" s="6" t="s">
        <v>14</v>
      </c>
      <c r="H16" s="6">
        <v>105</v>
      </c>
      <c r="I16" s="6" t="s">
        <v>24</v>
      </c>
      <c r="J16" s="6">
        <v>190</v>
      </c>
      <c r="K16" s="8">
        <v>1900</v>
      </c>
      <c r="L16" s="6">
        <f>SalesData[[#This Row],[Sales USD]]*SalesData[[#This Row],[Quantity]]</f>
        <v>361000</v>
      </c>
    </row>
    <row r="17" spans="1:15" x14ac:dyDescent="0.3">
      <c r="A17" s="5" t="s">
        <v>11</v>
      </c>
      <c r="B17" s="6" t="s">
        <v>12</v>
      </c>
      <c r="C17" s="6" t="s">
        <v>13</v>
      </c>
      <c r="D17" s="6">
        <v>65662</v>
      </c>
      <c r="E17" s="7">
        <v>43997</v>
      </c>
      <c r="F17" s="6">
        <v>8020</v>
      </c>
      <c r="G17" s="6" t="s">
        <v>21</v>
      </c>
      <c r="H17" s="6">
        <v>103</v>
      </c>
      <c r="I17" s="6" t="s">
        <v>15</v>
      </c>
      <c r="J17" s="6">
        <v>120</v>
      </c>
      <c r="K17" s="8">
        <v>1440</v>
      </c>
      <c r="L17" s="6">
        <f>SalesData[[#This Row],[Sales USD]]*SalesData[[#This Row],[Quantity]]</f>
        <v>172800</v>
      </c>
    </row>
    <row r="18" spans="1:15" x14ac:dyDescent="0.3">
      <c r="A18" s="5" t="s">
        <v>11</v>
      </c>
      <c r="B18" s="6" t="s">
        <v>12</v>
      </c>
      <c r="C18" s="6" t="s">
        <v>13</v>
      </c>
      <c r="D18" s="6">
        <v>65662</v>
      </c>
      <c r="E18" s="7">
        <v>43998</v>
      </c>
      <c r="F18" s="6">
        <v>8020</v>
      </c>
      <c r="G18" s="6" t="s">
        <v>21</v>
      </c>
      <c r="H18" s="6">
        <v>104</v>
      </c>
      <c r="I18" s="6" t="s">
        <v>17</v>
      </c>
      <c r="J18" s="6">
        <v>110</v>
      </c>
      <c r="K18" s="8">
        <v>1320</v>
      </c>
      <c r="L18" s="6">
        <f>SalesData[[#This Row],[Sales USD]]*SalesData[[#This Row],[Quantity]]</f>
        <v>145200</v>
      </c>
      <c r="M18" s="16"/>
    </row>
    <row r="19" spans="1:15" x14ac:dyDescent="0.3">
      <c r="A19" s="5" t="s">
        <v>11</v>
      </c>
      <c r="B19" s="6" t="s">
        <v>12</v>
      </c>
      <c r="C19" s="6" t="s">
        <v>13</v>
      </c>
      <c r="D19" s="6">
        <v>65666</v>
      </c>
      <c r="E19" s="7">
        <v>43984</v>
      </c>
      <c r="F19" s="6">
        <v>8010</v>
      </c>
      <c r="G19" s="6" t="s">
        <v>14</v>
      </c>
      <c r="H19" s="6">
        <v>103</v>
      </c>
      <c r="I19" s="6" t="s">
        <v>15</v>
      </c>
      <c r="J19" s="6">
        <v>120</v>
      </c>
      <c r="K19" s="8">
        <v>1440</v>
      </c>
      <c r="L19" s="6">
        <f>SalesData[[#This Row],[Sales USD]]*SalesData[[#This Row],[Quantity]]</f>
        <v>172800</v>
      </c>
      <c r="M19" s="16"/>
    </row>
    <row r="20" spans="1:15" x14ac:dyDescent="0.3">
      <c r="A20" s="5" t="s">
        <v>11</v>
      </c>
      <c r="B20" s="6" t="s">
        <v>12</v>
      </c>
      <c r="C20" s="6" t="s">
        <v>13</v>
      </c>
      <c r="D20" s="6">
        <v>65666</v>
      </c>
      <c r="E20" s="7">
        <v>43985</v>
      </c>
      <c r="F20" s="6">
        <v>8010</v>
      </c>
      <c r="G20" s="6" t="s">
        <v>14</v>
      </c>
      <c r="H20" s="6">
        <v>104</v>
      </c>
      <c r="I20" s="6" t="s">
        <v>17</v>
      </c>
      <c r="J20" s="6">
        <v>140</v>
      </c>
      <c r="K20" s="8">
        <v>1680</v>
      </c>
      <c r="L20" s="6">
        <f>SalesData[[#This Row],[Sales USD]]*SalesData[[#This Row],[Quantity]]</f>
        <v>235200</v>
      </c>
      <c r="M20" s="16"/>
      <c r="N20" s="15" t="s">
        <v>35</v>
      </c>
      <c r="O20" t="s">
        <v>36</v>
      </c>
    </row>
    <row r="21" spans="1:15" x14ac:dyDescent="0.3">
      <c r="A21" s="5" t="s">
        <v>11</v>
      </c>
      <c r="B21" s="6" t="s">
        <v>12</v>
      </c>
      <c r="C21" s="6" t="s">
        <v>13</v>
      </c>
      <c r="D21" s="6">
        <v>65666</v>
      </c>
      <c r="E21" s="7">
        <v>43986</v>
      </c>
      <c r="F21" s="6">
        <v>8010</v>
      </c>
      <c r="G21" s="6" t="s">
        <v>14</v>
      </c>
      <c r="H21" s="6">
        <v>105</v>
      </c>
      <c r="I21" s="6" t="s">
        <v>24</v>
      </c>
      <c r="J21" s="6">
        <v>160</v>
      </c>
      <c r="K21" s="8">
        <v>1600</v>
      </c>
      <c r="L21" s="6">
        <f>SalesData[[#This Row],[Sales USD]]*SalesData[[#This Row],[Quantity]]</f>
        <v>256000</v>
      </c>
      <c r="M21" s="16"/>
      <c r="N21" s="9" t="s">
        <v>24</v>
      </c>
      <c r="O21">
        <v>14300</v>
      </c>
    </row>
    <row r="22" spans="1:15" x14ac:dyDescent="0.3">
      <c r="A22" s="5" t="s">
        <v>11</v>
      </c>
      <c r="B22" s="6" t="s">
        <v>12</v>
      </c>
      <c r="C22" s="6" t="s">
        <v>13</v>
      </c>
      <c r="D22" s="6">
        <v>65666</v>
      </c>
      <c r="E22" s="7">
        <v>43987</v>
      </c>
      <c r="F22" s="6">
        <v>8020</v>
      </c>
      <c r="G22" s="6" t="s">
        <v>21</v>
      </c>
      <c r="H22" s="6">
        <v>107</v>
      </c>
      <c r="I22" s="6" t="s">
        <v>30</v>
      </c>
      <c r="J22" s="6">
        <v>120</v>
      </c>
      <c r="K22" s="8">
        <v>600</v>
      </c>
      <c r="L22" s="6">
        <f>SalesData[[#This Row],[Sales USD]]*SalesData[[#This Row],[Quantity]]</f>
        <v>72000</v>
      </c>
      <c r="M22" s="16"/>
      <c r="N22" s="10">
        <v>43986</v>
      </c>
      <c r="O22">
        <v>1600</v>
      </c>
    </row>
    <row r="23" spans="1:15" x14ac:dyDescent="0.3">
      <c r="A23" s="5" t="s">
        <v>11</v>
      </c>
      <c r="B23" s="6" t="s">
        <v>12</v>
      </c>
      <c r="C23" s="6" t="s">
        <v>13</v>
      </c>
      <c r="D23" s="6">
        <v>65666</v>
      </c>
      <c r="E23" s="7">
        <v>43988</v>
      </c>
      <c r="F23" s="6">
        <v>8020</v>
      </c>
      <c r="G23" s="6" t="s">
        <v>21</v>
      </c>
      <c r="H23" s="6">
        <v>103</v>
      </c>
      <c r="I23" s="6" t="s">
        <v>15</v>
      </c>
      <c r="J23" s="6">
        <v>200</v>
      </c>
      <c r="K23" s="8">
        <v>2400</v>
      </c>
      <c r="L23" s="6">
        <f>SalesData[[#This Row],[Sales USD]]*SalesData[[#This Row],[Quantity]]</f>
        <v>480000</v>
      </c>
      <c r="M23" s="16"/>
      <c r="N23" s="10">
        <v>43989</v>
      </c>
      <c r="O23">
        <v>1000</v>
      </c>
    </row>
    <row r="24" spans="1:15" x14ac:dyDescent="0.3">
      <c r="A24" s="5" t="s">
        <v>11</v>
      </c>
      <c r="B24" s="6" t="s">
        <v>12</v>
      </c>
      <c r="C24" s="6" t="s">
        <v>13</v>
      </c>
      <c r="D24" s="6">
        <v>66015</v>
      </c>
      <c r="E24" s="7">
        <v>43992</v>
      </c>
      <c r="F24" s="6">
        <v>8010</v>
      </c>
      <c r="G24" s="6" t="s">
        <v>14</v>
      </c>
      <c r="H24" s="6">
        <v>103</v>
      </c>
      <c r="I24" s="6" t="s">
        <v>15</v>
      </c>
      <c r="J24" s="6">
        <v>140</v>
      </c>
      <c r="K24" s="8">
        <v>1680</v>
      </c>
      <c r="L24" s="6">
        <f>SalesData[[#This Row],[Sales USD]]*SalesData[[#This Row],[Quantity]]</f>
        <v>235200</v>
      </c>
      <c r="M24" s="16"/>
      <c r="N24" s="10">
        <v>43991</v>
      </c>
      <c r="O24">
        <v>1200</v>
      </c>
    </row>
    <row r="25" spans="1:15" x14ac:dyDescent="0.3">
      <c r="A25" s="5" t="s">
        <v>11</v>
      </c>
      <c r="B25" s="6" t="s">
        <v>12</v>
      </c>
      <c r="C25" s="6" t="s">
        <v>13</v>
      </c>
      <c r="D25" s="6">
        <v>66015</v>
      </c>
      <c r="E25" s="7">
        <v>43993</v>
      </c>
      <c r="F25" s="6">
        <v>8010</v>
      </c>
      <c r="G25" s="6" t="s">
        <v>14</v>
      </c>
      <c r="H25" s="6">
        <v>104</v>
      </c>
      <c r="I25" s="6" t="s">
        <v>17</v>
      </c>
      <c r="J25" s="6">
        <v>140</v>
      </c>
      <c r="K25" s="8">
        <v>1680</v>
      </c>
      <c r="L25" s="6">
        <f>SalesData[[#This Row],[Sales USD]]*SalesData[[#This Row],[Quantity]]</f>
        <v>235200</v>
      </c>
      <c r="M25" s="16"/>
      <c r="N25" s="10">
        <v>43993</v>
      </c>
      <c r="O25">
        <v>1900</v>
      </c>
    </row>
    <row r="26" spans="1:15" x14ac:dyDescent="0.3">
      <c r="A26" s="5" t="s">
        <v>11</v>
      </c>
      <c r="B26" s="6" t="s">
        <v>12</v>
      </c>
      <c r="C26" s="6" t="s">
        <v>13</v>
      </c>
      <c r="D26" s="6">
        <v>66017</v>
      </c>
      <c r="E26" s="7">
        <v>43994</v>
      </c>
      <c r="F26" s="6">
        <v>8010</v>
      </c>
      <c r="G26" s="6" t="s">
        <v>14</v>
      </c>
      <c r="H26" s="6">
        <v>103</v>
      </c>
      <c r="I26" s="6" t="s">
        <v>15</v>
      </c>
      <c r="J26" s="6">
        <v>140</v>
      </c>
      <c r="K26" s="8">
        <v>1680</v>
      </c>
      <c r="L26" s="6">
        <f>SalesData[[#This Row],[Sales USD]]*SalesData[[#This Row],[Quantity]]</f>
        <v>235200</v>
      </c>
      <c r="M26" s="16"/>
      <c r="N26" s="10">
        <v>43996</v>
      </c>
      <c r="O26">
        <v>1900</v>
      </c>
    </row>
    <row r="27" spans="1:15" x14ac:dyDescent="0.3">
      <c r="A27" s="5" t="s">
        <v>11</v>
      </c>
      <c r="B27" s="6" t="s">
        <v>12</v>
      </c>
      <c r="C27" s="6" t="s">
        <v>13</v>
      </c>
      <c r="D27" s="6">
        <v>66017</v>
      </c>
      <c r="E27" s="7">
        <v>43995</v>
      </c>
      <c r="F27" s="6">
        <v>8010</v>
      </c>
      <c r="G27" s="6" t="s">
        <v>14</v>
      </c>
      <c r="H27" s="6">
        <v>104</v>
      </c>
      <c r="I27" s="6" t="s">
        <v>17</v>
      </c>
      <c r="J27" s="6">
        <v>140</v>
      </c>
      <c r="K27" s="8">
        <v>1680</v>
      </c>
      <c r="L27" s="6">
        <f>SalesData[[#This Row],[Sales USD]]*SalesData[[#This Row],[Quantity]]</f>
        <v>235200</v>
      </c>
      <c r="M27" s="16"/>
      <c r="N27" s="10">
        <v>43998</v>
      </c>
      <c r="O27">
        <v>2600</v>
      </c>
    </row>
    <row r="28" spans="1:15" x14ac:dyDescent="0.3">
      <c r="A28" s="5" t="s">
        <v>11</v>
      </c>
      <c r="B28" s="6" t="s">
        <v>12</v>
      </c>
      <c r="C28" s="6" t="s">
        <v>13</v>
      </c>
      <c r="D28" s="6">
        <v>66016</v>
      </c>
      <c r="E28" s="7">
        <v>43996</v>
      </c>
      <c r="F28" s="6">
        <v>8020</v>
      </c>
      <c r="G28" s="6" t="s">
        <v>21</v>
      </c>
      <c r="H28" s="6">
        <v>103</v>
      </c>
      <c r="I28" s="6" t="s">
        <v>15</v>
      </c>
      <c r="J28" s="6">
        <v>120</v>
      </c>
      <c r="K28" s="8">
        <v>1440</v>
      </c>
      <c r="L28" s="6">
        <f>SalesData[[#This Row],[Sales USD]]*SalesData[[#This Row],[Quantity]]</f>
        <v>172800</v>
      </c>
      <c r="M28" s="16"/>
      <c r="N28" s="10">
        <v>44000</v>
      </c>
      <c r="O28">
        <v>1300</v>
      </c>
    </row>
    <row r="29" spans="1:15" x14ac:dyDescent="0.3">
      <c r="A29" s="5" t="s">
        <v>11</v>
      </c>
      <c r="B29" s="6" t="s">
        <v>12</v>
      </c>
      <c r="C29" s="6" t="s">
        <v>13</v>
      </c>
      <c r="D29" s="6">
        <v>66016</v>
      </c>
      <c r="E29" s="7">
        <v>43997</v>
      </c>
      <c r="F29" s="6">
        <v>8020</v>
      </c>
      <c r="G29" s="6" t="s">
        <v>21</v>
      </c>
      <c r="H29" s="6">
        <v>104</v>
      </c>
      <c r="I29" s="6" t="s">
        <v>17</v>
      </c>
      <c r="J29" s="6">
        <v>130</v>
      </c>
      <c r="K29" s="8">
        <v>1560</v>
      </c>
      <c r="L29" s="6">
        <f>SalesData[[#This Row],[Sales USD]]*SalesData[[#This Row],[Quantity]]</f>
        <v>202800</v>
      </c>
      <c r="M29" s="16"/>
      <c r="N29" s="10">
        <v>44002</v>
      </c>
      <c r="O29">
        <v>1400</v>
      </c>
    </row>
    <row r="30" spans="1:15" x14ac:dyDescent="0.3">
      <c r="A30" s="5" t="s">
        <v>11</v>
      </c>
      <c r="B30" s="6" t="s">
        <v>12</v>
      </c>
      <c r="C30" s="6" t="s">
        <v>13</v>
      </c>
      <c r="D30" s="6">
        <v>66016</v>
      </c>
      <c r="E30" s="7">
        <v>43998</v>
      </c>
      <c r="F30" s="6">
        <v>8020</v>
      </c>
      <c r="G30" s="6" t="s">
        <v>21</v>
      </c>
      <c r="H30" s="6">
        <v>105</v>
      </c>
      <c r="I30" s="6" t="s">
        <v>24</v>
      </c>
      <c r="J30" s="6">
        <v>120</v>
      </c>
      <c r="K30" s="8">
        <v>1200</v>
      </c>
      <c r="L30" s="6">
        <f>SalesData[[#This Row],[Sales USD]]*SalesData[[#This Row],[Quantity]]</f>
        <v>144000</v>
      </c>
      <c r="M30" s="16"/>
      <c r="N30" s="10">
        <v>44003</v>
      </c>
      <c r="O30">
        <v>1400</v>
      </c>
    </row>
    <row r="31" spans="1:15" x14ac:dyDescent="0.3">
      <c r="A31" s="5" t="s">
        <v>11</v>
      </c>
      <c r="B31" s="6" t="s">
        <v>12</v>
      </c>
      <c r="C31" s="6" t="s">
        <v>13</v>
      </c>
      <c r="D31" s="6">
        <v>68097</v>
      </c>
      <c r="E31" s="7">
        <v>43999</v>
      </c>
      <c r="F31" s="6">
        <v>8010</v>
      </c>
      <c r="G31" s="6" t="s">
        <v>14</v>
      </c>
      <c r="H31" s="6">
        <v>104</v>
      </c>
      <c r="I31" s="6" t="s">
        <v>17</v>
      </c>
      <c r="J31" s="6">
        <v>140</v>
      </c>
      <c r="K31" s="8">
        <v>1680</v>
      </c>
      <c r="L31" s="6">
        <f>SalesData[[#This Row],[Sales USD]]*SalesData[[#This Row],[Quantity]]</f>
        <v>235200</v>
      </c>
      <c r="M31" s="16"/>
      <c r="N31" s="9" t="s">
        <v>37</v>
      </c>
      <c r="O31">
        <v>14300</v>
      </c>
    </row>
    <row r="32" spans="1:15" x14ac:dyDescent="0.3">
      <c r="A32" s="5" t="s">
        <v>11</v>
      </c>
      <c r="B32" s="6" t="s">
        <v>12</v>
      </c>
      <c r="C32" s="6" t="s">
        <v>13</v>
      </c>
      <c r="D32" s="6">
        <v>68097</v>
      </c>
      <c r="E32" s="7">
        <v>44000</v>
      </c>
      <c r="F32" s="6">
        <v>8010</v>
      </c>
      <c r="G32" s="6" t="s">
        <v>14</v>
      </c>
      <c r="H32" s="6">
        <v>105</v>
      </c>
      <c r="I32" s="6" t="s">
        <v>24</v>
      </c>
      <c r="J32" s="6">
        <v>130</v>
      </c>
      <c r="K32" s="8">
        <v>1300</v>
      </c>
      <c r="L32" s="6">
        <f>SalesData[[#This Row],[Sales USD]]*SalesData[[#This Row],[Quantity]]</f>
        <v>169000</v>
      </c>
      <c r="M32" s="16"/>
    </row>
    <row r="33" spans="1:13" x14ac:dyDescent="0.3">
      <c r="A33" s="5" t="s">
        <v>11</v>
      </c>
      <c r="B33" s="6" t="s">
        <v>12</v>
      </c>
      <c r="C33" s="6" t="s">
        <v>13</v>
      </c>
      <c r="D33" s="6">
        <v>68099</v>
      </c>
      <c r="E33" s="7">
        <v>44001</v>
      </c>
      <c r="F33" s="6">
        <v>8020</v>
      </c>
      <c r="G33" s="6" t="s">
        <v>21</v>
      </c>
      <c r="H33" s="6">
        <v>104</v>
      </c>
      <c r="I33" s="6" t="s">
        <v>17</v>
      </c>
      <c r="J33" s="6">
        <v>120</v>
      </c>
      <c r="K33" s="8">
        <v>1440</v>
      </c>
      <c r="L33" s="6">
        <f>SalesData[[#This Row],[Sales USD]]*SalesData[[#This Row],[Quantity]]</f>
        <v>172800</v>
      </c>
      <c r="M33" s="16"/>
    </row>
    <row r="34" spans="1:13" x14ac:dyDescent="0.3">
      <c r="A34" s="5" t="s">
        <v>11</v>
      </c>
      <c r="B34" s="6" t="s">
        <v>12</v>
      </c>
      <c r="C34" s="6" t="s">
        <v>13</v>
      </c>
      <c r="D34" s="6">
        <v>68099</v>
      </c>
      <c r="E34" s="7">
        <v>44002</v>
      </c>
      <c r="F34" s="6">
        <v>8020</v>
      </c>
      <c r="G34" s="6" t="s">
        <v>21</v>
      </c>
      <c r="H34" s="6">
        <v>105</v>
      </c>
      <c r="I34" s="6" t="s">
        <v>24</v>
      </c>
      <c r="J34" s="6">
        <v>140</v>
      </c>
      <c r="K34" s="8">
        <v>1400</v>
      </c>
      <c r="L34" s="6">
        <f>SalesData[[#This Row],[Sales USD]]*SalesData[[#This Row],[Quantity]]</f>
        <v>196000</v>
      </c>
      <c r="M34" s="16"/>
    </row>
    <row r="35" spans="1:13" x14ac:dyDescent="0.3">
      <c r="A35" s="5" t="s">
        <v>11</v>
      </c>
      <c r="B35" s="6" t="s">
        <v>12</v>
      </c>
      <c r="C35" s="6" t="s">
        <v>13</v>
      </c>
      <c r="D35" s="6">
        <v>68099</v>
      </c>
      <c r="E35" s="7">
        <v>44003</v>
      </c>
      <c r="F35" s="6">
        <v>8020</v>
      </c>
      <c r="G35" s="6" t="s">
        <v>21</v>
      </c>
      <c r="H35" s="6">
        <v>107</v>
      </c>
      <c r="I35" s="6" t="s">
        <v>30</v>
      </c>
      <c r="J35" s="6">
        <v>170</v>
      </c>
      <c r="K35" s="8">
        <v>850</v>
      </c>
      <c r="L35" s="6">
        <f>SalesData[[#This Row],[Sales USD]]*SalesData[[#This Row],[Quantity]]</f>
        <v>144500</v>
      </c>
      <c r="M35" s="16"/>
    </row>
    <row r="36" spans="1:13" x14ac:dyDescent="0.3">
      <c r="A36" s="5" t="s">
        <v>11</v>
      </c>
      <c r="B36" s="6" t="s">
        <v>12</v>
      </c>
      <c r="C36" s="6" t="s">
        <v>13</v>
      </c>
      <c r="D36" s="6">
        <v>68101</v>
      </c>
      <c r="E36" s="7">
        <v>43997</v>
      </c>
      <c r="F36" s="6">
        <v>8010</v>
      </c>
      <c r="G36" s="6" t="s">
        <v>14</v>
      </c>
      <c r="H36" s="6">
        <v>104</v>
      </c>
      <c r="I36" s="6" t="s">
        <v>17</v>
      </c>
      <c r="J36" s="6">
        <v>190</v>
      </c>
      <c r="K36" s="8">
        <v>2280</v>
      </c>
      <c r="L36" s="6">
        <f>SalesData[[#This Row],[Sales USD]]*SalesData[[#This Row],[Quantity]]</f>
        <v>433200</v>
      </c>
      <c r="M36" s="16"/>
    </row>
    <row r="37" spans="1:13" x14ac:dyDescent="0.3">
      <c r="A37" s="5" t="s">
        <v>11</v>
      </c>
      <c r="B37" s="6" t="s">
        <v>12</v>
      </c>
      <c r="C37" s="6" t="s">
        <v>13</v>
      </c>
      <c r="D37" s="6">
        <v>68101</v>
      </c>
      <c r="E37" s="7">
        <v>43998</v>
      </c>
      <c r="F37" s="6">
        <v>8010</v>
      </c>
      <c r="G37" s="6" t="s">
        <v>14</v>
      </c>
      <c r="H37" s="6">
        <v>105</v>
      </c>
      <c r="I37" s="6" t="s">
        <v>24</v>
      </c>
      <c r="J37" s="6">
        <v>140</v>
      </c>
      <c r="K37" s="8">
        <v>1400</v>
      </c>
      <c r="L37" s="6">
        <f>SalesData[[#This Row],[Sales USD]]*SalesData[[#This Row],[Quantity]]</f>
        <v>196000</v>
      </c>
      <c r="M37" s="16"/>
    </row>
    <row r="38" spans="1:13" x14ac:dyDescent="0.3">
      <c r="A38" s="5" t="s">
        <v>11</v>
      </c>
      <c r="B38" s="6" t="s">
        <v>12</v>
      </c>
      <c r="C38" s="6" t="s">
        <v>13</v>
      </c>
      <c r="D38" s="6">
        <v>65627</v>
      </c>
      <c r="E38" s="7">
        <v>43999</v>
      </c>
      <c r="F38" s="6">
        <v>8020</v>
      </c>
      <c r="G38" s="6" t="s">
        <v>21</v>
      </c>
      <c r="H38" s="6">
        <v>103</v>
      </c>
      <c r="I38" s="6" t="s">
        <v>15</v>
      </c>
      <c r="J38" s="6">
        <v>140</v>
      </c>
      <c r="K38" s="8">
        <v>1680</v>
      </c>
      <c r="L38" s="6">
        <f>SalesData[[#This Row],[Sales USD]]*SalesData[[#This Row],[Quantity]]</f>
        <v>235200</v>
      </c>
      <c r="M38" s="16"/>
    </row>
    <row r="39" spans="1:13" x14ac:dyDescent="0.3">
      <c r="A39" s="5" t="s">
        <v>11</v>
      </c>
      <c r="B39" s="6" t="s">
        <v>12</v>
      </c>
      <c r="C39" s="6" t="s">
        <v>13</v>
      </c>
      <c r="D39" s="6">
        <v>65627</v>
      </c>
      <c r="E39" s="7">
        <v>44000</v>
      </c>
      <c r="F39" s="6">
        <v>8020</v>
      </c>
      <c r="G39" s="6" t="s">
        <v>21</v>
      </c>
      <c r="H39" s="6">
        <v>104</v>
      </c>
      <c r="I39" s="6" t="s">
        <v>17</v>
      </c>
      <c r="J39" s="6">
        <v>160</v>
      </c>
      <c r="K39" s="8">
        <v>1920</v>
      </c>
      <c r="L39" s="6">
        <f>SalesData[[#This Row],[Sales USD]]*SalesData[[#This Row],[Quantity]]</f>
        <v>307200</v>
      </c>
      <c r="M39" s="16"/>
    </row>
    <row r="40" spans="1:13" x14ac:dyDescent="0.3">
      <c r="A40" s="5" t="s">
        <v>11</v>
      </c>
      <c r="B40" s="6" t="s">
        <v>12</v>
      </c>
      <c r="C40" s="6" t="s">
        <v>13</v>
      </c>
      <c r="D40" s="6">
        <v>65629</v>
      </c>
      <c r="E40" s="7">
        <v>44001</v>
      </c>
      <c r="F40" s="6">
        <v>8010</v>
      </c>
      <c r="G40" s="6" t="s">
        <v>14</v>
      </c>
      <c r="H40" s="6">
        <v>103</v>
      </c>
      <c r="I40" s="6" t="s">
        <v>15</v>
      </c>
      <c r="J40" s="6">
        <v>190</v>
      </c>
      <c r="K40" s="8">
        <v>2280</v>
      </c>
      <c r="L40" s="6">
        <f>SalesData[[#This Row],[Sales USD]]*SalesData[[#This Row],[Quantity]]</f>
        <v>433200</v>
      </c>
      <c r="M40" s="16"/>
    </row>
    <row r="41" spans="1:13" x14ac:dyDescent="0.3">
      <c r="A41" s="5" t="s">
        <v>11</v>
      </c>
      <c r="B41" s="6" t="s">
        <v>12</v>
      </c>
      <c r="C41" s="6" t="s">
        <v>13</v>
      </c>
      <c r="D41" s="6">
        <v>65629</v>
      </c>
      <c r="E41" s="7">
        <v>44002</v>
      </c>
      <c r="F41" s="6">
        <v>8010</v>
      </c>
      <c r="G41" s="6" t="s">
        <v>14</v>
      </c>
      <c r="H41" s="6">
        <v>104</v>
      </c>
      <c r="I41" s="6" t="s">
        <v>17</v>
      </c>
      <c r="J41" s="6">
        <v>130</v>
      </c>
      <c r="K41" s="8">
        <v>1560</v>
      </c>
      <c r="L41" s="6">
        <f>SalesData[[#This Row],[Sales USD]]*SalesData[[#This Row],[Quantity]]</f>
        <v>202800</v>
      </c>
      <c r="M41" s="16"/>
    </row>
    <row r="42" spans="1:13" x14ac:dyDescent="0.3">
      <c r="A42" s="5" t="s">
        <v>11</v>
      </c>
      <c r="B42" s="6" t="s">
        <v>12</v>
      </c>
      <c r="C42" s="6" t="s">
        <v>13</v>
      </c>
      <c r="D42" s="6">
        <v>65629</v>
      </c>
      <c r="E42" s="7">
        <v>44003</v>
      </c>
      <c r="F42" s="6">
        <v>8010</v>
      </c>
      <c r="G42" s="6" t="s">
        <v>14</v>
      </c>
      <c r="H42" s="6">
        <v>105</v>
      </c>
      <c r="I42" s="6" t="s">
        <v>24</v>
      </c>
      <c r="J42" s="6">
        <v>140</v>
      </c>
      <c r="K42" s="8">
        <v>1400</v>
      </c>
      <c r="L42" s="6">
        <f>SalesData[[#This Row],[Sales USD]]*SalesData[[#This Row],[Quantity]]</f>
        <v>196000</v>
      </c>
      <c r="M42" s="16"/>
    </row>
    <row r="43" spans="1:13" x14ac:dyDescent="0.3">
      <c r="A43" s="5" t="s">
        <v>11</v>
      </c>
      <c r="B43" s="6" t="s">
        <v>12</v>
      </c>
      <c r="C43" s="6" t="s">
        <v>13</v>
      </c>
      <c r="D43" s="6">
        <v>65631</v>
      </c>
      <c r="E43" s="7">
        <v>44004</v>
      </c>
      <c r="F43" s="6">
        <v>8020</v>
      </c>
      <c r="G43" s="6" t="s">
        <v>21</v>
      </c>
      <c r="H43" s="6">
        <v>107</v>
      </c>
      <c r="I43" s="6" t="s">
        <v>30</v>
      </c>
      <c r="J43" s="6">
        <v>190</v>
      </c>
      <c r="K43" s="8">
        <v>950</v>
      </c>
      <c r="L43" s="6">
        <f>SalesData[[#This Row],[Sales USD]]*SalesData[[#This Row],[Quantity]]</f>
        <v>180500</v>
      </c>
      <c r="M43" s="16"/>
    </row>
    <row r="44" spans="1:13" x14ac:dyDescent="0.3">
      <c r="A44" s="5" t="s">
        <v>11</v>
      </c>
      <c r="B44" s="6" t="s">
        <v>12</v>
      </c>
      <c r="C44" s="6" t="s">
        <v>13</v>
      </c>
      <c r="D44" s="6">
        <v>65631</v>
      </c>
      <c r="E44" s="7">
        <v>44005</v>
      </c>
      <c r="F44" s="6">
        <v>8020</v>
      </c>
      <c r="G44" s="6" t="s">
        <v>21</v>
      </c>
      <c r="H44" s="6">
        <v>103</v>
      </c>
      <c r="I44" s="6" t="s">
        <v>15</v>
      </c>
      <c r="J44" s="6">
        <v>120</v>
      </c>
      <c r="K44" s="8">
        <v>1440</v>
      </c>
      <c r="L44" s="6">
        <f>SalesData[[#This Row],[Sales USD]]*SalesData[[#This Row],[Quantity]]</f>
        <v>172800</v>
      </c>
      <c r="M44" s="16"/>
    </row>
    <row r="45" spans="1:13" x14ac:dyDescent="0.3">
      <c r="A45" s="5" t="s">
        <v>38</v>
      </c>
      <c r="B45" s="6" t="s">
        <v>39</v>
      </c>
      <c r="C45" s="6" t="s">
        <v>13</v>
      </c>
      <c r="D45" s="6">
        <v>24030</v>
      </c>
      <c r="E45" s="7">
        <v>43983</v>
      </c>
      <c r="F45" s="6">
        <v>8020</v>
      </c>
      <c r="G45" s="6" t="s">
        <v>21</v>
      </c>
      <c r="H45" s="6">
        <v>101</v>
      </c>
      <c r="I45" s="6" t="s">
        <v>40</v>
      </c>
      <c r="J45" s="6">
        <v>130</v>
      </c>
      <c r="K45" s="8">
        <v>1560</v>
      </c>
      <c r="L45" s="6">
        <f>SalesData[[#This Row],[Sales USD]]*SalesData[[#This Row],[Quantity]]</f>
        <v>202800</v>
      </c>
      <c r="M45" s="16"/>
    </row>
    <row r="46" spans="1:13" x14ac:dyDescent="0.3">
      <c r="A46" s="5" t="s">
        <v>38</v>
      </c>
      <c r="B46" s="6" t="s">
        <v>39</v>
      </c>
      <c r="C46" s="6" t="s">
        <v>13</v>
      </c>
      <c r="D46" s="6">
        <v>24030</v>
      </c>
      <c r="E46" s="7">
        <v>43984</v>
      </c>
      <c r="F46" s="6">
        <v>8020</v>
      </c>
      <c r="G46" s="6" t="s">
        <v>21</v>
      </c>
      <c r="H46" s="6">
        <v>102</v>
      </c>
      <c r="I46" s="6" t="s">
        <v>41</v>
      </c>
      <c r="J46" s="6">
        <v>30</v>
      </c>
      <c r="K46" s="8">
        <v>360</v>
      </c>
      <c r="L46" s="6">
        <f>SalesData[[#This Row],[Sales USD]]*SalesData[[#This Row],[Quantity]]</f>
        <v>10800</v>
      </c>
      <c r="M46" s="16"/>
    </row>
    <row r="47" spans="1:13" x14ac:dyDescent="0.3">
      <c r="A47" s="5" t="s">
        <v>38</v>
      </c>
      <c r="B47" s="6" t="s">
        <v>39</v>
      </c>
      <c r="C47" s="6" t="s">
        <v>13</v>
      </c>
      <c r="D47" s="6">
        <v>24030</v>
      </c>
      <c r="E47" s="7">
        <v>43985</v>
      </c>
      <c r="F47" s="6">
        <v>8020</v>
      </c>
      <c r="G47" s="6" t="s">
        <v>21</v>
      </c>
      <c r="H47" s="6">
        <v>106</v>
      </c>
      <c r="I47" s="6" t="s">
        <v>42</v>
      </c>
      <c r="J47" s="6">
        <v>60</v>
      </c>
      <c r="K47" s="8">
        <v>300</v>
      </c>
      <c r="L47" s="6">
        <f>SalesData[[#This Row],[Sales USD]]*SalesData[[#This Row],[Quantity]]</f>
        <v>18000</v>
      </c>
      <c r="M47" s="16"/>
    </row>
    <row r="48" spans="1:13" x14ac:dyDescent="0.3">
      <c r="A48" s="5" t="s">
        <v>38</v>
      </c>
      <c r="B48" s="6" t="s">
        <v>39</v>
      </c>
      <c r="C48" s="6" t="s">
        <v>13</v>
      </c>
      <c r="D48" s="6">
        <v>24030</v>
      </c>
      <c r="E48" s="7">
        <v>43986</v>
      </c>
      <c r="F48" s="6">
        <v>8020</v>
      </c>
      <c r="G48" s="6" t="s">
        <v>21</v>
      </c>
      <c r="H48" s="6">
        <v>108</v>
      </c>
      <c r="I48" s="6" t="s">
        <v>43</v>
      </c>
      <c r="J48" s="6">
        <v>80</v>
      </c>
      <c r="K48" s="8">
        <v>2240</v>
      </c>
      <c r="L48" s="6">
        <f>SalesData[[#This Row],[Sales USD]]*SalesData[[#This Row],[Quantity]]</f>
        <v>179200</v>
      </c>
      <c r="M48" s="16"/>
    </row>
    <row r="49" spans="1:13" x14ac:dyDescent="0.3">
      <c r="A49" s="5" t="s">
        <v>38</v>
      </c>
      <c r="B49" s="6" t="s">
        <v>39</v>
      </c>
      <c r="C49" s="6" t="s">
        <v>13</v>
      </c>
      <c r="D49" s="6">
        <v>24031</v>
      </c>
      <c r="E49" s="7">
        <v>43987</v>
      </c>
      <c r="F49" s="6">
        <v>8020</v>
      </c>
      <c r="G49" s="6" t="s">
        <v>21</v>
      </c>
      <c r="H49" s="6">
        <v>101</v>
      </c>
      <c r="I49" s="6" t="s">
        <v>40</v>
      </c>
      <c r="J49" s="6">
        <v>100</v>
      </c>
      <c r="K49" s="8">
        <v>1200</v>
      </c>
      <c r="L49" s="6">
        <f>SalesData[[#This Row],[Sales USD]]*SalesData[[#This Row],[Quantity]]</f>
        <v>120000</v>
      </c>
      <c r="M49" s="16"/>
    </row>
    <row r="50" spans="1:13" x14ac:dyDescent="0.3">
      <c r="A50" s="5" t="s">
        <v>38</v>
      </c>
      <c r="B50" s="6" t="s">
        <v>39</v>
      </c>
      <c r="C50" s="6" t="s">
        <v>13</v>
      </c>
      <c r="D50" s="6">
        <v>24031</v>
      </c>
      <c r="E50" s="7">
        <v>43988</v>
      </c>
      <c r="F50" s="6">
        <v>8020</v>
      </c>
      <c r="G50" s="6" t="s">
        <v>21</v>
      </c>
      <c r="H50" s="6">
        <v>108</v>
      </c>
      <c r="I50" s="6" t="s">
        <v>43</v>
      </c>
      <c r="J50" s="6">
        <v>20</v>
      </c>
      <c r="K50" s="8">
        <v>560</v>
      </c>
      <c r="L50" s="6">
        <f>SalesData[[#This Row],[Sales USD]]*SalesData[[#This Row],[Quantity]]</f>
        <v>11200</v>
      </c>
      <c r="M50" s="16"/>
    </row>
    <row r="51" spans="1:13" x14ac:dyDescent="0.3">
      <c r="A51" s="5" t="s">
        <v>38</v>
      </c>
      <c r="B51" s="6" t="s">
        <v>39</v>
      </c>
      <c r="C51" s="6" t="s">
        <v>13</v>
      </c>
      <c r="D51" s="6">
        <v>24031</v>
      </c>
      <c r="E51" s="7">
        <v>43989</v>
      </c>
      <c r="F51" s="6">
        <v>8020</v>
      </c>
      <c r="G51" s="6" t="s">
        <v>21</v>
      </c>
      <c r="H51" s="6">
        <v>113</v>
      </c>
      <c r="I51" s="6" t="s">
        <v>44</v>
      </c>
      <c r="J51" s="6">
        <v>100</v>
      </c>
      <c r="K51" s="8">
        <v>2500</v>
      </c>
      <c r="L51" s="6">
        <f>SalesData[[#This Row],[Sales USD]]*SalesData[[#This Row],[Quantity]]</f>
        <v>250000</v>
      </c>
      <c r="M51" s="16"/>
    </row>
    <row r="52" spans="1:13" x14ac:dyDescent="0.3">
      <c r="A52" s="5" t="s">
        <v>38</v>
      </c>
      <c r="B52" s="6" t="s">
        <v>39</v>
      </c>
      <c r="C52" s="6" t="s">
        <v>13</v>
      </c>
      <c r="D52" s="6">
        <v>28112</v>
      </c>
      <c r="E52" s="7">
        <v>43990</v>
      </c>
      <c r="F52" s="6">
        <v>8020</v>
      </c>
      <c r="G52" s="6" t="s">
        <v>21</v>
      </c>
      <c r="H52" s="6">
        <v>114</v>
      </c>
      <c r="I52" s="6" t="s">
        <v>45</v>
      </c>
      <c r="J52" s="6">
        <v>50</v>
      </c>
      <c r="K52" s="8">
        <v>1250</v>
      </c>
      <c r="L52" s="6">
        <f>SalesData[[#This Row],[Sales USD]]*SalesData[[#This Row],[Quantity]]</f>
        <v>62500</v>
      </c>
      <c r="M52" s="16"/>
    </row>
    <row r="53" spans="1:13" x14ac:dyDescent="0.3">
      <c r="A53" s="5" t="s">
        <v>38</v>
      </c>
      <c r="B53" s="6" t="s">
        <v>39</v>
      </c>
      <c r="C53" s="6" t="s">
        <v>13</v>
      </c>
      <c r="D53" s="6">
        <v>28112</v>
      </c>
      <c r="E53" s="7">
        <v>43991</v>
      </c>
      <c r="F53" s="6">
        <v>8020</v>
      </c>
      <c r="G53" s="6" t="s">
        <v>21</v>
      </c>
      <c r="H53" s="6">
        <v>101</v>
      </c>
      <c r="I53" s="6" t="s">
        <v>40</v>
      </c>
      <c r="J53" s="6">
        <v>40</v>
      </c>
      <c r="K53" s="8">
        <v>480</v>
      </c>
      <c r="L53" s="6">
        <f>SalesData[[#This Row],[Sales USD]]*SalesData[[#This Row],[Quantity]]</f>
        <v>19200</v>
      </c>
      <c r="M53" s="16"/>
    </row>
    <row r="54" spans="1:13" x14ac:dyDescent="0.3">
      <c r="A54" s="5" t="s">
        <v>38</v>
      </c>
      <c r="B54" s="6" t="s">
        <v>39</v>
      </c>
      <c r="C54" s="6" t="s">
        <v>13</v>
      </c>
      <c r="D54" s="6">
        <v>28112</v>
      </c>
      <c r="E54" s="7">
        <v>43992</v>
      </c>
      <c r="F54" s="6">
        <v>8020</v>
      </c>
      <c r="G54" s="6" t="s">
        <v>21</v>
      </c>
      <c r="H54" s="6">
        <v>102</v>
      </c>
      <c r="I54" s="6" t="s">
        <v>41</v>
      </c>
      <c r="J54" s="6">
        <v>70</v>
      </c>
      <c r="K54" s="8">
        <v>840</v>
      </c>
      <c r="L54" s="6">
        <f>SalesData[[#This Row],[Sales USD]]*SalesData[[#This Row],[Quantity]]</f>
        <v>58800</v>
      </c>
      <c r="M54" s="16"/>
    </row>
    <row r="55" spans="1:13" x14ac:dyDescent="0.3">
      <c r="A55" s="5" t="s">
        <v>38</v>
      </c>
      <c r="B55" s="6" t="s">
        <v>39</v>
      </c>
      <c r="C55" s="6" t="s">
        <v>13</v>
      </c>
      <c r="D55" s="6">
        <v>28112</v>
      </c>
      <c r="E55" s="7">
        <v>43993</v>
      </c>
      <c r="F55" s="6">
        <v>8020</v>
      </c>
      <c r="G55" s="6" t="s">
        <v>21</v>
      </c>
      <c r="H55" s="6">
        <v>106</v>
      </c>
      <c r="I55" s="6" t="s">
        <v>42</v>
      </c>
      <c r="J55" s="6">
        <v>70</v>
      </c>
      <c r="K55" s="8">
        <v>350</v>
      </c>
      <c r="L55" s="6">
        <f>SalesData[[#This Row],[Sales USD]]*SalesData[[#This Row],[Quantity]]</f>
        <v>24500</v>
      </c>
      <c r="M55" s="16"/>
    </row>
    <row r="56" spans="1:13" x14ac:dyDescent="0.3">
      <c r="A56" s="5" t="s">
        <v>38</v>
      </c>
      <c r="B56" s="6" t="s">
        <v>39</v>
      </c>
      <c r="C56" s="6" t="s">
        <v>13</v>
      </c>
      <c r="D56" s="6">
        <v>28112</v>
      </c>
      <c r="E56" s="7">
        <v>43994</v>
      </c>
      <c r="F56" s="6">
        <v>8020</v>
      </c>
      <c r="G56" s="6" t="s">
        <v>21</v>
      </c>
      <c r="H56" s="6">
        <v>108</v>
      </c>
      <c r="I56" s="6" t="s">
        <v>43</v>
      </c>
      <c r="J56" s="6">
        <v>10</v>
      </c>
      <c r="K56" s="8">
        <v>280</v>
      </c>
      <c r="L56" s="6">
        <f>SalesData[[#This Row],[Sales USD]]*SalesData[[#This Row],[Quantity]]</f>
        <v>2800</v>
      </c>
      <c r="M56" s="16"/>
    </row>
    <row r="57" spans="1:13" x14ac:dyDescent="0.3">
      <c r="A57" s="5" t="s">
        <v>38</v>
      </c>
      <c r="B57" s="6" t="s">
        <v>39</v>
      </c>
      <c r="C57" s="6" t="s">
        <v>13</v>
      </c>
      <c r="D57" s="6">
        <v>28112</v>
      </c>
      <c r="E57" s="7">
        <v>43995</v>
      </c>
      <c r="F57" s="6">
        <v>8020</v>
      </c>
      <c r="G57" s="6" t="s">
        <v>21</v>
      </c>
      <c r="H57" s="6">
        <v>117</v>
      </c>
      <c r="I57" s="6" t="s">
        <v>46</v>
      </c>
      <c r="J57" s="6">
        <v>80</v>
      </c>
      <c r="K57" s="8">
        <v>1440</v>
      </c>
      <c r="L57" s="6">
        <f>SalesData[[#This Row],[Sales USD]]*SalesData[[#This Row],[Quantity]]</f>
        <v>115200</v>
      </c>
      <c r="M57" s="16"/>
    </row>
    <row r="58" spans="1:13" x14ac:dyDescent="0.3">
      <c r="A58" s="5" t="s">
        <v>38</v>
      </c>
      <c r="B58" s="6" t="s">
        <v>39</v>
      </c>
      <c r="C58" s="6" t="s">
        <v>13</v>
      </c>
      <c r="D58" s="6">
        <v>28112</v>
      </c>
      <c r="E58" s="7">
        <v>43996</v>
      </c>
      <c r="F58" s="6">
        <v>8020</v>
      </c>
      <c r="G58" s="6" t="s">
        <v>21</v>
      </c>
      <c r="H58" s="6">
        <v>118</v>
      </c>
      <c r="I58" s="6" t="s">
        <v>47</v>
      </c>
      <c r="J58" s="6">
        <v>70</v>
      </c>
      <c r="K58" s="8">
        <v>1260</v>
      </c>
      <c r="L58" s="6">
        <f>SalesData[[#This Row],[Sales USD]]*SalesData[[#This Row],[Quantity]]</f>
        <v>88200</v>
      </c>
      <c r="M58" s="16"/>
    </row>
    <row r="59" spans="1:13" x14ac:dyDescent="0.3">
      <c r="A59" s="5" t="s">
        <v>38</v>
      </c>
      <c r="B59" s="6" t="s">
        <v>39</v>
      </c>
      <c r="C59" s="6" t="s">
        <v>13</v>
      </c>
      <c r="D59" s="6">
        <v>25442</v>
      </c>
      <c r="E59" s="7">
        <v>43997</v>
      </c>
      <c r="F59" s="6">
        <v>8010</v>
      </c>
      <c r="G59" s="6" t="s">
        <v>14</v>
      </c>
      <c r="H59" s="6">
        <v>118</v>
      </c>
      <c r="I59" s="6" t="s">
        <v>47</v>
      </c>
      <c r="J59" s="6">
        <v>70</v>
      </c>
      <c r="K59" s="8">
        <v>1260</v>
      </c>
      <c r="L59" s="6">
        <f>SalesData[[#This Row],[Sales USD]]*SalesData[[#This Row],[Quantity]]</f>
        <v>88200</v>
      </c>
      <c r="M59" s="16"/>
    </row>
    <row r="60" spans="1:13" x14ac:dyDescent="0.3">
      <c r="A60" s="5" t="s">
        <v>38</v>
      </c>
      <c r="B60" s="6" t="s">
        <v>39</v>
      </c>
      <c r="C60" s="6" t="s">
        <v>13</v>
      </c>
      <c r="D60" s="6">
        <v>25442</v>
      </c>
      <c r="E60" s="7">
        <v>43998</v>
      </c>
      <c r="F60" s="6">
        <v>8010</v>
      </c>
      <c r="G60" s="6" t="s">
        <v>14</v>
      </c>
      <c r="H60" s="6">
        <v>117</v>
      </c>
      <c r="I60" s="6" t="s">
        <v>46</v>
      </c>
      <c r="J60" s="6">
        <v>80</v>
      </c>
      <c r="K60" s="8">
        <v>1440</v>
      </c>
      <c r="L60" s="6">
        <f>SalesData[[#This Row],[Sales USD]]*SalesData[[#This Row],[Quantity]]</f>
        <v>115200</v>
      </c>
      <c r="M60" s="16"/>
    </row>
    <row r="61" spans="1:13" x14ac:dyDescent="0.3">
      <c r="A61" s="5" t="s">
        <v>38</v>
      </c>
      <c r="B61" s="6" t="s">
        <v>39</v>
      </c>
      <c r="C61" s="6" t="s">
        <v>13</v>
      </c>
      <c r="D61" s="6">
        <v>25442</v>
      </c>
      <c r="E61" s="7">
        <v>43999</v>
      </c>
      <c r="F61" s="6">
        <v>8010</v>
      </c>
      <c r="G61" s="6" t="s">
        <v>14</v>
      </c>
      <c r="H61" s="6">
        <v>118</v>
      </c>
      <c r="I61" s="6" t="s">
        <v>47</v>
      </c>
      <c r="J61" s="6">
        <v>70</v>
      </c>
      <c r="K61" s="8">
        <v>1260</v>
      </c>
      <c r="L61" s="6">
        <f>SalesData[[#This Row],[Sales USD]]*SalesData[[#This Row],[Quantity]]</f>
        <v>88200</v>
      </c>
      <c r="M61" s="16"/>
    </row>
    <row r="62" spans="1:13" x14ac:dyDescent="0.3">
      <c r="A62" s="5" t="s">
        <v>38</v>
      </c>
      <c r="B62" s="6" t="s">
        <v>39</v>
      </c>
      <c r="C62" s="6" t="s">
        <v>13</v>
      </c>
      <c r="D62" s="6">
        <v>25442</v>
      </c>
      <c r="E62" s="7">
        <v>44000</v>
      </c>
      <c r="F62" s="6">
        <v>8010</v>
      </c>
      <c r="G62" s="6" t="s">
        <v>14</v>
      </c>
      <c r="H62" s="6">
        <v>116</v>
      </c>
      <c r="I62" s="6" t="s">
        <v>48</v>
      </c>
      <c r="J62" s="6">
        <v>60</v>
      </c>
      <c r="K62" s="8">
        <v>360</v>
      </c>
      <c r="L62" s="6">
        <f>SalesData[[#This Row],[Sales USD]]*SalesData[[#This Row],[Quantity]]</f>
        <v>21600</v>
      </c>
      <c r="M62" s="16"/>
    </row>
    <row r="63" spans="1:13" x14ac:dyDescent="0.3">
      <c r="A63" s="5" t="s">
        <v>38</v>
      </c>
      <c r="B63" s="6" t="s">
        <v>39</v>
      </c>
      <c r="C63" s="6" t="s">
        <v>13</v>
      </c>
      <c r="D63" s="6">
        <v>25442</v>
      </c>
      <c r="E63" s="7">
        <v>44001</v>
      </c>
      <c r="F63" s="6">
        <v>8010</v>
      </c>
      <c r="G63" s="6" t="s">
        <v>14</v>
      </c>
      <c r="H63" s="6">
        <v>106</v>
      </c>
      <c r="I63" s="6" t="s">
        <v>42</v>
      </c>
      <c r="J63" s="6">
        <v>20</v>
      </c>
      <c r="K63" s="8">
        <v>100</v>
      </c>
      <c r="L63" s="6">
        <f>SalesData[[#This Row],[Sales USD]]*SalesData[[#This Row],[Quantity]]</f>
        <v>2000</v>
      </c>
      <c r="M63" s="16"/>
    </row>
    <row r="64" spans="1:13" x14ac:dyDescent="0.3">
      <c r="A64" s="5" t="s">
        <v>38</v>
      </c>
      <c r="B64" s="6" t="s">
        <v>39</v>
      </c>
      <c r="C64" s="6" t="s">
        <v>13</v>
      </c>
      <c r="D64" s="6">
        <v>25442</v>
      </c>
      <c r="E64" s="7">
        <v>44002</v>
      </c>
      <c r="F64" s="6">
        <v>8010</v>
      </c>
      <c r="G64" s="6" t="s">
        <v>14</v>
      </c>
      <c r="H64" s="6">
        <v>101</v>
      </c>
      <c r="I64" s="6" t="s">
        <v>40</v>
      </c>
      <c r="J64" s="6">
        <v>40</v>
      </c>
      <c r="K64" s="8">
        <v>480</v>
      </c>
      <c r="L64" s="6">
        <f>SalesData[[#This Row],[Sales USD]]*SalesData[[#This Row],[Quantity]]</f>
        <v>19200</v>
      </c>
      <c r="M64" s="16"/>
    </row>
    <row r="65" spans="1:13" x14ac:dyDescent="0.3">
      <c r="A65" s="5" t="s">
        <v>38</v>
      </c>
      <c r="B65" s="6" t="s">
        <v>39</v>
      </c>
      <c r="C65" s="6" t="s">
        <v>13</v>
      </c>
      <c r="D65" s="6">
        <v>25442</v>
      </c>
      <c r="E65" s="7">
        <v>44003</v>
      </c>
      <c r="F65" s="6">
        <v>8010</v>
      </c>
      <c r="G65" s="6" t="s">
        <v>14</v>
      </c>
      <c r="H65" s="6">
        <v>102</v>
      </c>
      <c r="I65" s="6" t="s">
        <v>41</v>
      </c>
      <c r="J65" s="6">
        <v>10</v>
      </c>
      <c r="K65" s="8">
        <v>120</v>
      </c>
      <c r="L65" s="6">
        <f>SalesData[[#This Row],[Sales USD]]*SalesData[[#This Row],[Quantity]]</f>
        <v>1200</v>
      </c>
      <c r="M65" s="16"/>
    </row>
    <row r="66" spans="1:13" x14ac:dyDescent="0.3">
      <c r="A66" s="5" t="s">
        <v>49</v>
      </c>
      <c r="B66" s="6" t="s">
        <v>50</v>
      </c>
      <c r="C66" s="6" t="s">
        <v>51</v>
      </c>
      <c r="D66" s="6">
        <v>44030</v>
      </c>
      <c r="E66" s="7">
        <v>43983</v>
      </c>
      <c r="F66" s="6">
        <v>8060</v>
      </c>
      <c r="G66" s="6" t="s">
        <v>52</v>
      </c>
      <c r="H66" s="6">
        <v>108</v>
      </c>
      <c r="I66" s="6" t="s">
        <v>43</v>
      </c>
      <c r="J66" s="6">
        <v>60</v>
      </c>
      <c r="K66" s="8">
        <v>1970</v>
      </c>
      <c r="L66" s="6">
        <f>SalesData[[#This Row],[Sales USD]]*SalesData[[#This Row],[Quantity]]</f>
        <v>118200</v>
      </c>
      <c r="M66" s="16"/>
    </row>
    <row r="67" spans="1:13" x14ac:dyDescent="0.3">
      <c r="A67" s="5" t="s">
        <v>49</v>
      </c>
      <c r="B67" s="6" t="s">
        <v>50</v>
      </c>
      <c r="C67" s="6" t="s">
        <v>51</v>
      </c>
      <c r="D67" s="6">
        <v>44030</v>
      </c>
      <c r="E67" s="7">
        <v>43984</v>
      </c>
      <c r="F67" s="6">
        <v>8060</v>
      </c>
      <c r="G67" s="6" t="s">
        <v>52</v>
      </c>
      <c r="H67" s="6">
        <v>109</v>
      </c>
      <c r="I67" s="6" t="s">
        <v>53</v>
      </c>
      <c r="J67" s="6">
        <v>60</v>
      </c>
      <c r="K67" s="8">
        <v>1970</v>
      </c>
      <c r="L67" s="6">
        <f>SalesData[[#This Row],[Sales USD]]*SalesData[[#This Row],[Quantity]]</f>
        <v>118200</v>
      </c>
      <c r="M67" s="16"/>
    </row>
    <row r="68" spans="1:13" x14ac:dyDescent="0.3">
      <c r="A68" s="5" t="s">
        <v>49</v>
      </c>
      <c r="B68" s="6" t="s">
        <v>50</v>
      </c>
      <c r="C68" s="6" t="s">
        <v>51</v>
      </c>
      <c r="D68" s="6">
        <v>44032</v>
      </c>
      <c r="E68" s="7">
        <v>43983</v>
      </c>
      <c r="F68" s="6">
        <v>8060</v>
      </c>
      <c r="G68" s="6" t="s">
        <v>52</v>
      </c>
      <c r="H68" s="6">
        <v>108</v>
      </c>
      <c r="I68" s="6" t="s">
        <v>43</v>
      </c>
      <c r="J68" s="6">
        <v>60</v>
      </c>
      <c r="K68" s="8">
        <v>1970</v>
      </c>
      <c r="L68" s="6">
        <f>SalesData[[#This Row],[Sales USD]]*SalesData[[#This Row],[Quantity]]</f>
        <v>118200</v>
      </c>
      <c r="M68" s="16"/>
    </row>
    <row r="69" spans="1:13" x14ac:dyDescent="0.3">
      <c r="A69" s="5" t="s">
        <v>49</v>
      </c>
      <c r="B69" s="6" t="s">
        <v>50</v>
      </c>
      <c r="C69" s="6" t="s">
        <v>51</v>
      </c>
      <c r="D69" s="6">
        <v>44032</v>
      </c>
      <c r="E69" s="7">
        <v>43984</v>
      </c>
      <c r="F69" s="6">
        <v>8060</v>
      </c>
      <c r="G69" s="6" t="s">
        <v>52</v>
      </c>
      <c r="H69" s="6">
        <v>109</v>
      </c>
      <c r="I69" s="6" t="s">
        <v>53</v>
      </c>
      <c r="J69" s="6">
        <v>70</v>
      </c>
      <c r="K69" s="8">
        <v>2300</v>
      </c>
      <c r="L69" s="6">
        <f>SalesData[[#This Row],[Sales USD]]*SalesData[[#This Row],[Quantity]]</f>
        <v>161000</v>
      </c>
      <c r="M69" s="16"/>
    </row>
    <row r="70" spans="1:13" x14ac:dyDescent="0.3">
      <c r="A70" s="5" t="s">
        <v>49</v>
      </c>
      <c r="B70" s="6" t="s">
        <v>50</v>
      </c>
      <c r="C70" s="6" t="s">
        <v>51</v>
      </c>
      <c r="D70" s="6">
        <v>44031</v>
      </c>
      <c r="E70" s="7">
        <v>43983</v>
      </c>
      <c r="F70" s="6">
        <v>8050</v>
      </c>
      <c r="G70" s="6" t="s">
        <v>54</v>
      </c>
      <c r="H70" s="6">
        <v>108</v>
      </c>
      <c r="I70" s="6" t="s">
        <v>43</v>
      </c>
      <c r="J70" s="6">
        <v>60</v>
      </c>
      <c r="K70" s="8">
        <v>1970</v>
      </c>
      <c r="L70" s="6">
        <f>SalesData[[#This Row],[Sales USD]]*SalesData[[#This Row],[Quantity]]</f>
        <v>118200</v>
      </c>
      <c r="M70" s="16"/>
    </row>
    <row r="71" spans="1:13" x14ac:dyDescent="0.3">
      <c r="A71" s="5" t="s">
        <v>49</v>
      </c>
      <c r="B71" s="6" t="s">
        <v>50</v>
      </c>
      <c r="C71" s="6" t="s">
        <v>51</v>
      </c>
      <c r="D71" s="6">
        <v>44031</v>
      </c>
      <c r="E71" s="7">
        <v>43984</v>
      </c>
      <c r="F71" s="6">
        <v>8050</v>
      </c>
      <c r="G71" s="6" t="s">
        <v>54</v>
      </c>
      <c r="H71" s="6">
        <v>109</v>
      </c>
      <c r="I71" s="6" t="s">
        <v>53</v>
      </c>
      <c r="J71" s="6">
        <v>50</v>
      </c>
      <c r="K71" s="8">
        <v>1640</v>
      </c>
      <c r="L71" s="6">
        <f>SalesData[[#This Row],[Sales USD]]*SalesData[[#This Row],[Quantity]]</f>
        <v>82000</v>
      </c>
      <c r="M71" s="16"/>
    </row>
    <row r="72" spans="1:13" x14ac:dyDescent="0.3">
      <c r="A72" s="5" t="s">
        <v>49</v>
      </c>
      <c r="B72" s="6" t="s">
        <v>50</v>
      </c>
      <c r="C72" s="6" t="s">
        <v>51</v>
      </c>
      <c r="D72" s="6">
        <v>44031</v>
      </c>
      <c r="E72" s="7">
        <v>43989</v>
      </c>
      <c r="F72" s="6">
        <v>8050</v>
      </c>
      <c r="G72" s="6" t="s">
        <v>54</v>
      </c>
      <c r="H72" s="6">
        <v>110</v>
      </c>
      <c r="I72" s="6" t="s">
        <v>55</v>
      </c>
      <c r="J72" s="6">
        <v>60</v>
      </c>
      <c r="K72" s="8">
        <v>4230</v>
      </c>
      <c r="L72" s="6">
        <f>SalesData[[#This Row],[Sales USD]]*SalesData[[#This Row],[Quantity]]</f>
        <v>253800</v>
      </c>
      <c r="M72" s="16"/>
    </row>
    <row r="73" spans="1:13" x14ac:dyDescent="0.3">
      <c r="A73" s="5" t="s">
        <v>49</v>
      </c>
      <c r="B73" s="6" t="s">
        <v>50</v>
      </c>
      <c r="C73" s="6" t="s">
        <v>51</v>
      </c>
      <c r="D73" s="6">
        <v>48112</v>
      </c>
      <c r="E73" s="7">
        <v>43990</v>
      </c>
      <c r="F73" s="6">
        <v>8060</v>
      </c>
      <c r="G73" s="6" t="s">
        <v>52</v>
      </c>
      <c r="H73" s="6">
        <v>109</v>
      </c>
      <c r="I73" s="6" t="s">
        <v>53</v>
      </c>
      <c r="J73" s="6">
        <v>60</v>
      </c>
      <c r="K73" s="8">
        <v>1970</v>
      </c>
      <c r="L73" s="6">
        <f>SalesData[[#This Row],[Sales USD]]*SalesData[[#This Row],[Quantity]]</f>
        <v>118200</v>
      </c>
      <c r="M73" s="16"/>
    </row>
    <row r="74" spans="1:13" x14ac:dyDescent="0.3">
      <c r="A74" s="5" t="s">
        <v>49</v>
      </c>
      <c r="B74" s="6" t="s">
        <v>50</v>
      </c>
      <c r="C74" s="6" t="s">
        <v>51</v>
      </c>
      <c r="D74" s="6">
        <v>48112</v>
      </c>
      <c r="E74" s="7">
        <v>43991</v>
      </c>
      <c r="F74" s="6">
        <v>8060</v>
      </c>
      <c r="G74" s="6" t="s">
        <v>52</v>
      </c>
      <c r="H74" s="6">
        <v>110</v>
      </c>
      <c r="I74" s="6" t="s">
        <v>55</v>
      </c>
      <c r="J74" s="6">
        <v>50</v>
      </c>
      <c r="K74" s="8">
        <v>3520</v>
      </c>
      <c r="L74" s="6">
        <f>SalesData[[#This Row],[Sales USD]]*SalesData[[#This Row],[Quantity]]</f>
        <v>176000</v>
      </c>
      <c r="M74" s="16"/>
    </row>
    <row r="75" spans="1:13" x14ac:dyDescent="0.3">
      <c r="A75" s="5" t="s">
        <v>49</v>
      </c>
      <c r="B75" s="6" t="s">
        <v>50</v>
      </c>
      <c r="C75" s="6" t="s">
        <v>51</v>
      </c>
      <c r="D75" s="6">
        <v>48114</v>
      </c>
      <c r="E75" s="7">
        <v>43990</v>
      </c>
      <c r="F75" s="6">
        <v>8050</v>
      </c>
      <c r="G75" s="6" t="s">
        <v>54</v>
      </c>
      <c r="H75" s="6">
        <v>109</v>
      </c>
      <c r="I75" s="6" t="s">
        <v>53</v>
      </c>
      <c r="J75" s="6">
        <v>60</v>
      </c>
      <c r="K75" s="8">
        <v>1970</v>
      </c>
      <c r="L75" s="6">
        <f>SalesData[[#This Row],[Sales USD]]*SalesData[[#This Row],[Quantity]]</f>
        <v>118200</v>
      </c>
      <c r="M75" s="16"/>
    </row>
    <row r="76" spans="1:13" x14ac:dyDescent="0.3">
      <c r="A76" s="5" t="s">
        <v>49</v>
      </c>
      <c r="B76" s="6" t="s">
        <v>50</v>
      </c>
      <c r="C76" s="6" t="s">
        <v>51</v>
      </c>
      <c r="D76" s="6">
        <v>48114</v>
      </c>
      <c r="E76" s="7">
        <v>43991</v>
      </c>
      <c r="F76" s="6">
        <v>8050</v>
      </c>
      <c r="G76" s="6" t="s">
        <v>54</v>
      </c>
      <c r="H76" s="6">
        <v>110</v>
      </c>
      <c r="I76" s="6" t="s">
        <v>55</v>
      </c>
      <c r="J76" s="6">
        <v>60</v>
      </c>
      <c r="K76" s="8">
        <v>4230</v>
      </c>
      <c r="L76" s="6">
        <f>SalesData[[#This Row],[Sales USD]]*SalesData[[#This Row],[Quantity]]</f>
        <v>253800</v>
      </c>
      <c r="M76" s="16"/>
    </row>
    <row r="77" spans="1:13" x14ac:dyDescent="0.3">
      <c r="A77" s="5" t="s">
        <v>49</v>
      </c>
      <c r="B77" s="6" t="s">
        <v>50</v>
      </c>
      <c r="C77" s="6" t="s">
        <v>51</v>
      </c>
      <c r="D77" s="6">
        <v>48114</v>
      </c>
      <c r="E77" s="7">
        <v>43994</v>
      </c>
      <c r="F77" s="6">
        <v>8050</v>
      </c>
      <c r="G77" s="6" t="s">
        <v>54</v>
      </c>
      <c r="H77" s="6">
        <v>111</v>
      </c>
      <c r="I77" s="6" t="s">
        <v>56</v>
      </c>
      <c r="J77" s="6">
        <v>80</v>
      </c>
      <c r="K77" s="8">
        <v>1880</v>
      </c>
      <c r="L77" s="6">
        <f>SalesData[[#This Row],[Sales USD]]*SalesData[[#This Row],[Quantity]]</f>
        <v>150400</v>
      </c>
      <c r="M77" s="16"/>
    </row>
    <row r="78" spans="1:13" x14ac:dyDescent="0.3">
      <c r="A78" s="5" t="s">
        <v>49</v>
      </c>
      <c r="B78" s="6" t="s">
        <v>50</v>
      </c>
      <c r="C78" s="6" t="s">
        <v>51</v>
      </c>
      <c r="D78" s="6">
        <v>48116</v>
      </c>
      <c r="E78" s="7">
        <v>43990</v>
      </c>
      <c r="F78" s="6">
        <v>8060</v>
      </c>
      <c r="G78" s="6" t="s">
        <v>52</v>
      </c>
      <c r="H78" s="6">
        <v>109</v>
      </c>
      <c r="I78" s="6" t="s">
        <v>53</v>
      </c>
      <c r="J78" s="6">
        <v>60</v>
      </c>
      <c r="K78" s="8">
        <v>1970</v>
      </c>
      <c r="L78" s="6">
        <f>SalesData[[#This Row],[Sales USD]]*SalesData[[#This Row],[Quantity]]</f>
        <v>118200</v>
      </c>
      <c r="M78" s="16"/>
    </row>
    <row r="79" spans="1:13" x14ac:dyDescent="0.3">
      <c r="A79" s="5" t="s">
        <v>49</v>
      </c>
      <c r="B79" s="6" t="s">
        <v>50</v>
      </c>
      <c r="C79" s="6" t="s">
        <v>51</v>
      </c>
      <c r="D79" s="6">
        <v>48116</v>
      </c>
      <c r="E79" s="7">
        <v>43991</v>
      </c>
      <c r="F79" s="6">
        <v>8060</v>
      </c>
      <c r="G79" s="6" t="s">
        <v>52</v>
      </c>
      <c r="H79" s="6">
        <v>110</v>
      </c>
      <c r="I79" s="6" t="s">
        <v>55</v>
      </c>
      <c r="J79" s="6">
        <v>60</v>
      </c>
      <c r="K79" s="8">
        <v>4230</v>
      </c>
      <c r="L79" s="6">
        <f>SalesData[[#This Row],[Sales USD]]*SalesData[[#This Row],[Quantity]]</f>
        <v>253800</v>
      </c>
      <c r="M79" s="16"/>
    </row>
    <row r="80" spans="1:13" x14ac:dyDescent="0.3">
      <c r="A80" s="5" t="s">
        <v>49</v>
      </c>
      <c r="B80" s="6" t="s">
        <v>50</v>
      </c>
      <c r="C80" s="6" t="s">
        <v>51</v>
      </c>
      <c r="D80" s="6">
        <v>45442</v>
      </c>
      <c r="E80" s="7">
        <v>43997</v>
      </c>
      <c r="F80" s="6">
        <v>8050</v>
      </c>
      <c r="G80" s="6" t="s">
        <v>54</v>
      </c>
      <c r="H80" s="6">
        <v>108</v>
      </c>
      <c r="I80" s="6" t="s">
        <v>43</v>
      </c>
      <c r="J80" s="6">
        <v>50</v>
      </c>
      <c r="K80" s="8">
        <v>1640</v>
      </c>
      <c r="L80" s="6">
        <f>SalesData[[#This Row],[Sales USD]]*SalesData[[#This Row],[Quantity]]</f>
        <v>82000</v>
      </c>
      <c r="M80" s="16"/>
    </row>
    <row r="81" spans="1:13" x14ac:dyDescent="0.3">
      <c r="A81" s="5" t="s">
        <v>49</v>
      </c>
      <c r="B81" s="6" t="s">
        <v>50</v>
      </c>
      <c r="C81" s="6" t="s">
        <v>51</v>
      </c>
      <c r="D81" s="6">
        <v>45442</v>
      </c>
      <c r="E81" s="7">
        <v>43998</v>
      </c>
      <c r="F81" s="6">
        <v>8050</v>
      </c>
      <c r="G81" s="6" t="s">
        <v>54</v>
      </c>
      <c r="H81" s="6">
        <v>109</v>
      </c>
      <c r="I81" s="6" t="s">
        <v>53</v>
      </c>
      <c r="J81" s="6">
        <v>60</v>
      </c>
      <c r="K81" s="8">
        <v>1970</v>
      </c>
      <c r="L81" s="6">
        <f>SalesData[[#This Row],[Sales USD]]*SalesData[[#This Row],[Quantity]]</f>
        <v>118200</v>
      </c>
      <c r="M81" s="16"/>
    </row>
    <row r="82" spans="1:13" x14ac:dyDescent="0.3">
      <c r="A82" s="5" t="s">
        <v>49</v>
      </c>
      <c r="B82" s="6" t="s">
        <v>50</v>
      </c>
      <c r="C82" s="6" t="s">
        <v>51</v>
      </c>
      <c r="D82" s="6">
        <v>45444</v>
      </c>
      <c r="E82" s="7">
        <v>43997</v>
      </c>
      <c r="F82" s="6">
        <v>8060</v>
      </c>
      <c r="G82" s="6" t="s">
        <v>52</v>
      </c>
      <c r="H82" s="6">
        <v>108</v>
      </c>
      <c r="I82" s="6" t="s">
        <v>43</v>
      </c>
      <c r="J82" s="6">
        <v>60</v>
      </c>
      <c r="K82" s="8">
        <v>1970</v>
      </c>
      <c r="L82" s="6">
        <f>SalesData[[#This Row],[Sales USD]]*SalesData[[#This Row],[Quantity]]</f>
        <v>118200</v>
      </c>
      <c r="M82" s="16"/>
    </row>
    <row r="83" spans="1:13" x14ac:dyDescent="0.3">
      <c r="A83" s="5" t="s">
        <v>49</v>
      </c>
      <c r="B83" s="6" t="s">
        <v>50</v>
      </c>
      <c r="C83" s="6" t="s">
        <v>51</v>
      </c>
      <c r="D83" s="6">
        <v>45444</v>
      </c>
      <c r="E83" s="7">
        <v>43998</v>
      </c>
      <c r="F83" s="6">
        <v>8060</v>
      </c>
      <c r="G83" s="6" t="s">
        <v>52</v>
      </c>
      <c r="H83" s="6">
        <v>109</v>
      </c>
      <c r="I83" s="6" t="s">
        <v>53</v>
      </c>
      <c r="J83" s="6">
        <v>70</v>
      </c>
      <c r="K83" s="8">
        <v>2300</v>
      </c>
      <c r="L83" s="6">
        <f>SalesData[[#This Row],[Sales USD]]*SalesData[[#This Row],[Quantity]]</f>
        <v>161000</v>
      </c>
      <c r="M83" s="16"/>
    </row>
    <row r="84" spans="1:13" x14ac:dyDescent="0.3">
      <c r="A84" s="5" t="s">
        <v>49</v>
      </c>
      <c r="B84" s="6" t="s">
        <v>50</v>
      </c>
      <c r="C84" s="6" t="s">
        <v>51</v>
      </c>
      <c r="D84" s="6">
        <v>45444</v>
      </c>
      <c r="E84" s="7">
        <v>44001</v>
      </c>
      <c r="F84" s="6">
        <v>8060</v>
      </c>
      <c r="G84" s="6" t="s">
        <v>52</v>
      </c>
      <c r="H84" s="6">
        <v>110</v>
      </c>
      <c r="I84" s="6" t="s">
        <v>55</v>
      </c>
      <c r="J84" s="6">
        <v>60</v>
      </c>
      <c r="K84" s="8">
        <v>4230</v>
      </c>
      <c r="L84" s="6">
        <f>SalesData[[#This Row],[Sales USD]]*SalesData[[#This Row],[Quantity]]</f>
        <v>253800</v>
      </c>
      <c r="M84" s="16"/>
    </row>
    <row r="85" spans="1:13" x14ac:dyDescent="0.3">
      <c r="A85" s="5" t="s">
        <v>49</v>
      </c>
      <c r="B85" s="6" t="s">
        <v>50</v>
      </c>
      <c r="C85" s="6" t="s">
        <v>51</v>
      </c>
      <c r="D85" s="6">
        <v>45446</v>
      </c>
      <c r="E85" s="7">
        <v>43997</v>
      </c>
      <c r="F85" s="6">
        <v>8050</v>
      </c>
      <c r="G85" s="6" t="s">
        <v>54</v>
      </c>
      <c r="H85" s="6">
        <v>111</v>
      </c>
      <c r="I85" s="6" t="s">
        <v>56</v>
      </c>
      <c r="J85" s="6">
        <v>80</v>
      </c>
      <c r="K85" s="8">
        <v>1880</v>
      </c>
      <c r="L85" s="6">
        <f>SalesData[[#This Row],[Sales USD]]*SalesData[[#This Row],[Quantity]]</f>
        <v>150400</v>
      </c>
      <c r="M85" s="16"/>
    </row>
    <row r="86" spans="1:13" x14ac:dyDescent="0.3">
      <c r="A86" s="5" t="s">
        <v>49</v>
      </c>
      <c r="B86" s="6" t="s">
        <v>50</v>
      </c>
      <c r="C86" s="6" t="s">
        <v>51</v>
      </c>
      <c r="D86" s="6">
        <v>45446</v>
      </c>
      <c r="E86" s="7">
        <v>43998</v>
      </c>
      <c r="F86" s="6">
        <v>8050</v>
      </c>
      <c r="G86" s="6" t="s">
        <v>54</v>
      </c>
      <c r="H86" s="6">
        <v>108</v>
      </c>
      <c r="I86" s="6" t="s">
        <v>43</v>
      </c>
      <c r="J86" s="6">
        <v>50</v>
      </c>
      <c r="K86" s="8">
        <v>1640</v>
      </c>
      <c r="L86" s="6">
        <f>SalesData[[#This Row],[Sales USD]]*SalesData[[#This Row],[Quantity]]</f>
        <v>82000</v>
      </c>
      <c r="M86" s="16"/>
    </row>
    <row r="87" spans="1:13" x14ac:dyDescent="0.3">
      <c r="A87" s="5" t="s">
        <v>49</v>
      </c>
      <c r="B87" s="6" t="s">
        <v>50</v>
      </c>
      <c r="C87" s="6" t="s">
        <v>51</v>
      </c>
      <c r="D87" s="6">
        <v>44015</v>
      </c>
      <c r="E87" s="7">
        <v>44000</v>
      </c>
      <c r="F87" s="6">
        <v>8060</v>
      </c>
      <c r="G87" s="6" t="s">
        <v>52</v>
      </c>
      <c r="H87" s="6">
        <v>108</v>
      </c>
      <c r="I87" s="6" t="s">
        <v>43</v>
      </c>
      <c r="J87" s="6">
        <v>60</v>
      </c>
      <c r="K87" s="8">
        <v>1970</v>
      </c>
      <c r="L87" s="6">
        <f>SalesData[[#This Row],[Sales USD]]*SalesData[[#This Row],[Quantity]]</f>
        <v>118200</v>
      </c>
      <c r="M87" s="16"/>
    </row>
    <row r="88" spans="1:13" x14ac:dyDescent="0.3">
      <c r="A88" s="5" t="s">
        <v>49</v>
      </c>
      <c r="B88" s="6" t="s">
        <v>50</v>
      </c>
      <c r="C88" s="6" t="s">
        <v>51</v>
      </c>
      <c r="D88" s="6">
        <v>44015</v>
      </c>
      <c r="E88" s="7">
        <v>44005</v>
      </c>
      <c r="F88" s="6">
        <v>8060</v>
      </c>
      <c r="G88" s="6" t="s">
        <v>52</v>
      </c>
      <c r="H88" s="6">
        <v>109</v>
      </c>
      <c r="I88" s="6" t="s">
        <v>53</v>
      </c>
      <c r="J88" s="6">
        <v>70</v>
      </c>
      <c r="K88" s="8">
        <v>2300</v>
      </c>
      <c r="L88" s="6">
        <f>SalesData[[#This Row],[Sales USD]]*SalesData[[#This Row],[Quantity]]</f>
        <v>161000</v>
      </c>
      <c r="M88" s="16"/>
    </row>
    <row r="89" spans="1:13" x14ac:dyDescent="0.3">
      <c r="A89" s="5" t="s">
        <v>49</v>
      </c>
      <c r="B89" s="6" t="s">
        <v>50</v>
      </c>
      <c r="C89" s="6" t="s">
        <v>51</v>
      </c>
      <c r="D89" s="6">
        <v>44017</v>
      </c>
      <c r="E89" s="7">
        <v>43998</v>
      </c>
      <c r="F89" s="6">
        <v>8060</v>
      </c>
      <c r="G89" s="6" t="s">
        <v>52</v>
      </c>
      <c r="H89" s="6">
        <v>108</v>
      </c>
      <c r="I89" s="6" t="s">
        <v>43</v>
      </c>
      <c r="J89" s="6">
        <v>70</v>
      </c>
      <c r="K89" s="8">
        <v>2300</v>
      </c>
      <c r="L89" s="6">
        <f>SalesData[[#This Row],[Sales USD]]*SalesData[[#This Row],[Quantity]]</f>
        <v>161000</v>
      </c>
      <c r="M89" s="16"/>
    </row>
    <row r="90" spans="1:13" x14ac:dyDescent="0.3">
      <c r="A90" s="5" t="s">
        <v>49</v>
      </c>
      <c r="B90" s="6" t="s">
        <v>50</v>
      </c>
      <c r="C90" s="6" t="s">
        <v>51</v>
      </c>
      <c r="D90" s="6">
        <v>44017</v>
      </c>
      <c r="E90" s="7">
        <v>44007</v>
      </c>
      <c r="F90" s="6">
        <v>8060</v>
      </c>
      <c r="G90" s="6" t="s">
        <v>52</v>
      </c>
      <c r="H90" s="6">
        <v>109</v>
      </c>
      <c r="I90" s="6" t="s">
        <v>53</v>
      </c>
      <c r="J90" s="6">
        <v>70</v>
      </c>
      <c r="K90" s="8">
        <v>2300</v>
      </c>
      <c r="L90" s="6">
        <f>SalesData[[#This Row],[Sales USD]]*SalesData[[#This Row],[Quantity]]</f>
        <v>161000</v>
      </c>
      <c r="M90" s="16"/>
    </row>
    <row r="91" spans="1:13" x14ac:dyDescent="0.3">
      <c r="A91" s="5" t="s">
        <v>49</v>
      </c>
      <c r="B91" s="6" t="s">
        <v>50</v>
      </c>
      <c r="C91" s="6" t="s">
        <v>51</v>
      </c>
      <c r="D91" s="6">
        <v>44016</v>
      </c>
      <c r="E91" s="7">
        <v>43998</v>
      </c>
      <c r="F91" s="6">
        <v>8050</v>
      </c>
      <c r="G91" s="6" t="s">
        <v>54</v>
      </c>
      <c r="H91" s="6">
        <v>108</v>
      </c>
      <c r="I91" s="6" t="s">
        <v>43</v>
      </c>
      <c r="J91" s="6">
        <v>70</v>
      </c>
      <c r="K91" s="8">
        <v>2300</v>
      </c>
      <c r="L91" s="6">
        <f>SalesData[[#This Row],[Sales USD]]*SalesData[[#This Row],[Quantity]]</f>
        <v>161000</v>
      </c>
      <c r="M91" s="16"/>
    </row>
    <row r="92" spans="1:13" x14ac:dyDescent="0.3">
      <c r="A92" s="5" t="s">
        <v>49</v>
      </c>
      <c r="B92" s="6" t="s">
        <v>50</v>
      </c>
      <c r="C92" s="6" t="s">
        <v>51</v>
      </c>
      <c r="D92" s="6">
        <v>44016</v>
      </c>
      <c r="E92" s="7">
        <v>44000</v>
      </c>
      <c r="F92" s="6">
        <v>8050</v>
      </c>
      <c r="G92" s="6" t="s">
        <v>54</v>
      </c>
      <c r="H92" s="6">
        <v>109</v>
      </c>
      <c r="I92" s="6" t="s">
        <v>53</v>
      </c>
      <c r="J92" s="6">
        <v>60</v>
      </c>
      <c r="K92" s="8">
        <v>1970</v>
      </c>
      <c r="L92" s="6">
        <f>SalesData[[#This Row],[Sales USD]]*SalesData[[#This Row],[Quantity]]</f>
        <v>118200</v>
      </c>
      <c r="M92" s="16"/>
    </row>
    <row r="93" spans="1:13" x14ac:dyDescent="0.3">
      <c r="A93" s="5" t="s">
        <v>49</v>
      </c>
      <c r="B93" s="6" t="s">
        <v>50</v>
      </c>
      <c r="C93" s="6" t="s">
        <v>51</v>
      </c>
      <c r="D93" s="6">
        <v>44016</v>
      </c>
      <c r="E93" s="7">
        <v>44005</v>
      </c>
      <c r="F93" s="6">
        <v>8050</v>
      </c>
      <c r="G93" s="6" t="s">
        <v>54</v>
      </c>
      <c r="H93" s="6">
        <v>110</v>
      </c>
      <c r="I93" s="6" t="s">
        <v>55</v>
      </c>
      <c r="J93" s="6">
        <v>50</v>
      </c>
      <c r="K93" s="8">
        <v>3520</v>
      </c>
      <c r="L93" s="6">
        <f>SalesData[[#This Row],[Sales USD]]*SalesData[[#This Row],[Quantity]]</f>
        <v>176000</v>
      </c>
      <c r="M93" s="16"/>
    </row>
    <row r="94" spans="1:13" x14ac:dyDescent="0.3">
      <c r="A94" s="5" t="s">
        <v>49</v>
      </c>
      <c r="B94" s="6" t="s">
        <v>50</v>
      </c>
      <c r="C94" s="6" t="s">
        <v>51</v>
      </c>
      <c r="D94" s="6">
        <v>48097</v>
      </c>
      <c r="E94" s="7">
        <v>44011</v>
      </c>
      <c r="F94" s="6">
        <v>8060</v>
      </c>
      <c r="G94" s="6" t="s">
        <v>52</v>
      </c>
      <c r="H94" s="6">
        <v>109</v>
      </c>
      <c r="I94" s="6" t="s">
        <v>53</v>
      </c>
      <c r="J94" s="6">
        <v>60</v>
      </c>
      <c r="K94" s="8">
        <v>1970</v>
      </c>
      <c r="L94" s="6">
        <f>SalesData[[#This Row],[Sales USD]]*SalesData[[#This Row],[Quantity]]</f>
        <v>118200</v>
      </c>
      <c r="M94" s="16"/>
    </row>
    <row r="95" spans="1:13" x14ac:dyDescent="0.3">
      <c r="A95" s="5" t="s">
        <v>49</v>
      </c>
      <c r="B95" s="6" t="s">
        <v>50</v>
      </c>
      <c r="C95" s="6" t="s">
        <v>51</v>
      </c>
      <c r="D95" s="6">
        <v>48097</v>
      </c>
      <c r="E95" s="7">
        <v>44012</v>
      </c>
      <c r="F95" s="6">
        <v>8060</v>
      </c>
      <c r="G95" s="6" t="s">
        <v>52</v>
      </c>
      <c r="H95" s="6">
        <v>110</v>
      </c>
      <c r="I95" s="6" t="s">
        <v>55</v>
      </c>
      <c r="J95" s="6">
        <v>70</v>
      </c>
      <c r="K95" s="8">
        <v>4930</v>
      </c>
      <c r="L95" s="6">
        <f>SalesData[[#This Row],[Sales USD]]*SalesData[[#This Row],[Quantity]]</f>
        <v>345100</v>
      </c>
      <c r="M95" s="16"/>
    </row>
    <row r="96" spans="1:13" x14ac:dyDescent="0.3">
      <c r="A96" s="5" t="s">
        <v>49</v>
      </c>
      <c r="B96" s="6" t="s">
        <v>50</v>
      </c>
      <c r="C96" s="6" t="s">
        <v>51</v>
      </c>
      <c r="D96" s="6">
        <v>48099</v>
      </c>
      <c r="E96" s="7">
        <v>43997</v>
      </c>
      <c r="F96" s="6">
        <v>8050</v>
      </c>
      <c r="G96" s="6" t="s">
        <v>54</v>
      </c>
      <c r="H96" s="6">
        <v>109</v>
      </c>
      <c r="I96" s="6" t="s">
        <v>53</v>
      </c>
      <c r="J96" s="6">
        <v>60</v>
      </c>
      <c r="K96" s="8">
        <v>1970</v>
      </c>
      <c r="L96" s="6">
        <f>SalesData[[#This Row],[Sales USD]]*SalesData[[#This Row],[Quantity]]</f>
        <v>118200</v>
      </c>
      <c r="M96" s="16"/>
    </row>
    <row r="97" spans="1:13" x14ac:dyDescent="0.3">
      <c r="A97" s="5" t="s">
        <v>49</v>
      </c>
      <c r="B97" s="6" t="s">
        <v>50</v>
      </c>
      <c r="C97" s="6" t="s">
        <v>51</v>
      </c>
      <c r="D97" s="6">
        <v>48099</v>
      </c>
      <c r="E97" s="7">
        <v>43998</v>
      </c>
      <c r="F97" s="6">
        <v>8050</v>
      </c>
      <c r="G97" s="6" t="s">
        <v>54</v>
      </c>
      <c r="H97" s="6">
        <v>110</v>
      </c>
      <c r="I97" s="6" t="s">
        <v>55</v>
      </c>
      <c r="J97" s="6">
        <v>60</v>
      </c>
      <c r="K97" s="8">
        <v>4230</v>
      </c>
      <c r="L97" s="6">
        <f>SalesData[[#This Row],[Sales USD]]*SalesData[[#This Row],[Quantity]]</f>
        <v>253800</v>
      </c>
      <c r="M97" s="16"/>
    </row>
    <row r="98" spans="1:13" x14ac:dyDescent="0.3">
      <c r="A98" s="5" t="s">
        <v>49</v>
      </c>
      <c r="B98" s="6" t="s">
        <v>50</v>
      </c>
      <c r="C98" s="6" t="s">
        <v>51</v>
      </c>
      <c r="D98" s="6">
        <v>48099</v>
      </c>
      <c r="E98" s="7">
        <v>43999</v>
      </c>
      <c r="F98" s="6">
        <v>8050</v>
      </c>
      <c r="G98" s="6" t="s">
        <v>54</v>
      </c>
      <c r="H98" s="6">
        <v>111</v>
      </c>
      <c r="I98" s="6" t="s">
        <v>56</v>
      </c>
      <c r="J98" s="6">
        <v>60</v>
      </c>
      <c r="K98" s="8">
        <v>1410</v>
      </c>
      <c r="L98" s="6">
        <f>SalesData[[#This Row],[Sales USD]]*SalesData[[#This Row],[Quantity]]</f>
        <v>84600</v>
      </c>
      <c r="M98" s="16"/>
    </row>
    <row r="99" spans="1:13" x14ac:dyDescent="0.3">
      <c r="A99" s="5" t="s">
        <v>49</v>
      </c>
      <c r="B99" s="6" t="s">
        <v>50</v>
      </c>
      <c r="C99" s="6" t="s">
        <v>51</v>
      </c>
      <c r="D99" s="6">
        <v>48101</v>
      </c>
      <c r="E99" s="7">
        <v>44000</v>
      </c>
      <c r="F99" s="6">
        <v>8060</v>
      </c>
      <c r="G99" s="6" t="s">
        <v>52</v>
      </c>
      <c r="H99" s="6">
        <v>109</v>
      </c>
      <c r="I99" s="6" t="s">
        <v>53</v>
      </c>
      <c r="J99" s="6">
        <v>60</v>
      </c>
      <c r="K99" s="8">
        <v>1970</v>
      </c>
      <c r="L99" s="6">
        <f>SalesData[[#This Row],[Sales USD]]*SalesData[[#This Row],[Quantity]]</f>
        <v>118200</v>
      </c>
      <c r="M99" s="16"/>
    </row>
    <row r="100" spans="1:13" x14ac:dyDescent="0.3">
      <c r="A100" s="5" t="s">
        <v>49</v>
      </c>
      <c r="B100" s="6" t="s">
        <v>50</v>
      </c>
      <c r="C100" s="6" t="s">
        <v>51</v>
      </c>
      <c r="D100" s="6">
        <v>48101</v>
      </c>
      <c r="E100" s="7">
        <v>44001</v>
      </c>
      <c r="F100" s="6">
        <v>8060</v>
      </c>
      <c r="G100" s="6" t="s">
        <v>52</v>
      </c>
      <c r="H100" s="6">
        <v>110</v>
      </c>
      <c r="I100" s="6" t="s">
        <v>55</v>
      </c>
      <c r="J100" s="6">
        <v>50</v>
      </c>
      <c r="K100" s="8">
        <v>3520</v>
      </c>
      <c r="L100" s="6">
        <f>SalesData[[#This Row],[Sales USD]]*SalesData[[#This Row],[Quantity]]</f>
        <v>176000</v>
      </c>
      <c r="M100" s="16"/>
    </row>
    <row r="101" spans="1:13" x14ac:dyDescent="0.3">
      <c r="A101" s="5" t="s">
        <v>49</v>
      </c>
      <c r="B101" s="6" t="s">
        <v>50</v>
      </c>
      <c r="C101" s="6" t="s">
        <v>51</v>
      </c>
      <c r="D101" s="6">
        <v>45427</v>
      </c>
      <c r="E101" s="7">
        <v>44002</v>
      </c>
      <c r="F101" s="6">
        <v>8050</v>
      </c>
      <c r="G101" s="6" t="s">
        <v>54</v>
      </c>
      <c r="H101" s="6">
        <v>108</v>
      </c>
      <c r="I101" s="6" t="s">
        <v>43</v>
      </c>
      <c r="J101" s="6">
        <v>70</v>
      </c>
      <c r="K101" s="8">
        <v>2300</v>
      </c>
      <c r="L101" s="6">
        <f>SalesData[[#This Row],[Sales USD]]*SalesData[[#This Row],[Quantity]]</f>
        <v>161000</v>
      </c>
      <c r="M101" s="16"/>
    </row>
    <row r="102" spans="1:13" x14ac:dyDescent="0.3">
      <c r="A102" s="5" t="s">
        <v>49</v>
      </c>
      <c r="B102" s="6" t="s">
        <v>50</v>
      </c>
      <c r="C102" s="6" t="s">
        <v>51</v>
      </c>
      <c r="D102" s="6">
        <v>45427</v>
      </c>
      <c r="E102" s="7">
        <v>44003</v>
      </c>
      <c r="F102" s="6">
        <v>8050</v>
      </c>
      <c r="G102" s="6" t="s">
        <v>54</v>
      </c>
      <c r="H102" s="6">
        <v>109</v>
      </c>
      <c r="I102" s="6" t="s">
        <v>53</v>
      </c>
      <c r="J102" s="6">
        <v>60</v>
      </c>
      <c r="K102" s="8">
        <v>1970</v>
      </c>
      <c r="L102" s="6">
        <f>SalesData[[#This Row],[Sales USD]]*SalesData[[#This Row],[Quantity]]</f>
        <v>118200</v>
      </c>
      <c r="M102" s="16"/>
    </row>
    <row r="103" spans="1:13" x14ac:dyDescent="0.3">
      <c r="A103" s="5" t="s">
        <v>49</v>
      </c>
      <c r="B103" s="6" t="s">
        <v>50</v>
      </c>
      <c r="C103" s="6" t="s">
        <v>51</v>
      </c>
      <c r="D103" s="6">
        <v>45429</v>
      </c>
      <c r="E103" s="7">
        <v>44004</v>
      </c>
      <c r="F103" s="6">
        <v>8060</v>
      </c>
      <c r="G103" s="6" t="s">
        <v>52</v>
      </c>
      <c r="H103" s="6">
        <v>108</v>
      </c>
      <c r="I103" s="6" t="s">
        <v>43</v>
      </c>
      <c r="J103" s="6">
        <v>80</v>
      </c>
      <c r="K103" s="8">
        <v>2630</v>
      </c>
      <c r="L103" s="6">
        <f>SalesData[[#This Row],[Sales USD]]*SalesData[[#This Row],[Quantity]]</f>
        <v>210400</v>
      </c>
      <c r="M103" s="16"/>
    </row>
    <row r="104" spans="1:13" x14ac:dyDescent="0.3">
      <c r="A104" s="5" t="s">
        <v>49</v>
      </c>
      <c r="B104" s="6" t="s">
        <v>50</v>
      </c>
      <c r="C104" s="6" t="s">
        <v>51</v>
      </c>
      <c r="D104" s="6">
        <v>45429</v>
      </c>
      <c r="E104" s="7">
        <v>44005</v>
      </c>
      <c r="F104" s="6">
        <v>8060</v>
      </c>
      <c r="G104" s="6" t="s">
        <v>52</v>
      </c>
      <c r="H104" s="6">
        <v>109</v>
      </c>
      <c r="I104" s="6" t="s">
        <v>53</v>
      </c>
      <c r="J104" s="6">
        <v>80</v>
      </c>
      <c r="K104" s="8">
        <v>2630</v>
      </c>
      <c r="L104" s="6">
        <f>SalesData[[#This Row],[Sales USD]]*SalesData[[#This Row],[Quantity]]</f>
        <v>210400</v>
      </c>
      <c r="M104" s="16"/>
    </row>
    <row r="105" spans="1:13" x14ac:dyDescent="0.3">
      <c r="A105" s="5" t="s">
        <v>49</v>
      </c>
      <c r="B105" s="6" t="s">
        <v>50</v>
      </c>
      <c r="C105" s="6" t="s">
        <v>51</v>
      </c>
      <c r="D105" s="6">
        <v>45429</v>
      </c>
      <c r="E105" s="7">
        <v>44006</v>
      </c>
      <c r="F105" s="6">
        <v>8060</v>
      </c>
      <c r="G105" s="6" t="s">
        <v>52</v>
      </c>
      <c r="H105" s="6">
        <v>110</v>
      </c>
      <c r="I105" s="6" t="s">
        <v>55</v>
      </c>
      <c r="J105" s="6">
        <v>50</v>
      </c>
      <c r="K105" s="8">
        <v>3520</v>
      </c>
      <c r="L105" s="6">
        <f>SalesData[[#This Row],[Sales USD]]*SalesData[[#This Row],[Quantity]]</f>
        <v>176000</v>
      </c>
      <c r="M105" s="16"/>
    </row>
    <row r="106" spans="1:13" x14ac:dyDescent="0.3">
      <c r="A106" s="5" t="s">
        <v>49</v>
      </c>
      <c r="B106" s="6" t="s">
        <v>50</v>
      </c>
      <c r="C106" s="6" t="s">
        <v>51</v>
      </c>
      <c r="D106" s="6">
        <v>45431</v>
      </c>
      <c r="E106" s="7">
        <v>44007</v>
      </c>
      <c r="F106" s="6">
        <v>8050</v>
      </c>
      <c r="G106" s="6" t="s">
        <v>54</v>
      </c>
      <c r="H106" s="6">
        <v>111</v>
      </c>
      <c r="I106" s="6" t="s">
        <v>56</v>
      </c>
      <c r="J106" s="6">
        <v>60</v>
      </c>
      <c r="K106" s="8">
        <v>1410</v>
      </c>
      <c r="L106" s="6">
        <f>SalesData[[#This Row],[Sales USD]]*SalesData[[#This Row],[Quantity]]</f>
        <v>84600</v>
      </c>
      <c r="M106" s="16"/>
    </row>
    <row r="107" spans="1:13" x14ac:dyDescent="0.3">
      <c r="A107" s="11" t="s">
        <v>49</v>
      </c>
      <c r="B107" s="12" t="s">
        <v>50</v>
      </c>
      <c r="C107" s="12" t="s">
        <v>51</v>
      </c>
      <c r="D107" s="12">
        <v>45431</v>
      </c>
      <c r="E107" s="13">
        <v>44008</v>
      </c>
      <c r="F107" s="12">
        <v>8050</v>
      </c>
      <c r="G107" s="12" t="s">
        <v>54</v>
      </c>
      <c r="H107" s="12">
        <v>108</v>
      </c>
      <c r="I107" s="12" t="s">
        <v>43</v>
      </c>
      <c r="J107" s="12">
        <v>60</v>
      </c>
      <c r="K107" s="14">
        <v>1970</v>
      </c>
      <c r="L107" s="12">
        <f>SalesData[[#This Row],[Sales USD]]*SalesData[[#This Row],[Quantity]]</f>
        <v>118200</v>
      </c>
      <c r="M107" s="16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C4DB-B59F-45EE-98FF-C361A032130D}">
  <dimension ref="B2:C16"/>
  <sheetViews>
    <sheetView workbookViewId="0">
      <selection activeCell="C16" sqref="C16"/>
    </sheetView>
  </sheetViews>
  <sheetFormatPr defaultRowHeight="14.4" x14ac:dyDescent="0.3"/>
  <cols>
    <col min="3" max="3" width="70.6640625" bestFit="1" customWidth="1"/>
  </cols>
  <sheetData>
    <row r="2" spans="2:3" ht="15" x14ac:dyDescent="0.3">
      <c r="B2" s="6">
        <v>1</v>
      </c>
      <c r="C2" s="17" t="s">
        <v>16</v>
      </c>
    </row>
    <row r="3" spans="2:3" ht="15" x14ac:dyDescent="0.3">
      <c r="B3" s="6">
        <v>2</v>
      </c>
      <c r="C3" s="17" t="s">
        <v>18</v>
      </c>
    </row>
    <row r="4" spans="2:3" ht="15" x14ac:dyDescent="0.3">
      <c r="B4" s="6">
        <v>3</v>
      </c>
      <c r="C4" s="17" t="s">
        <v>19</v>
      </c>
    </row>
    <row r="5" spans="2:3" ht="15" x14ac:dyDescent="0.3">
      <c r="B5" s="6">
        <v>4</v>
      </c>
      <c r="C5" s="17" t="s">
        <v>20</v>
      </c>
    </row>
    <row r="6" spans="2:3" ht="15" x14ac:dyDescent="0.3">
      <c r="B6" s="6">
        <v>5</v>
      </c>
      <c r="C6" s="17" t="s">
        <v>22</v>
      </c>
    </row>
    <row r="7" spans="2:3" ht="15" x14ac:dyDescent="0.3">
      <c r="B7" s="6">
        <v>6</v>
      </c>
      <c r="C7" s="17" t="s">
        <v>23</v>
      </c>
    </row>
    <row r="8" spans="2:3" ht="15" x14ac:dyDescent="0.3">
      <c r="B8" s="6">
        <v>7</v>
      </c>
      <c r="C8" s="17" t="s">
        <v>25</v>
      </c>
    </row>
    <row r="9" spans="2:3" ht="15" x14ac:dyDescent="0.3">
      <c r="B9" s="6">
        <v>8</v>
      </c>
      <c r="C9" s="17" t="s">
        <v>26</v>
      </c>
    </row>
    <row r="10" spans="2:3" ht="15" x14ac:dyDescent="0.3">
      <c r="B10" s="6">
        <v>9</v>
      </c>
      <c r="C10" s="17" t="s">
        <v>27</v>
      </c>
    </row>
    <row r="11" spans="2:3" ht="15" x14ac:dyDescent="0.3">
      <c r="B11" s="6">
        <v>10</v>
      </c>
      <c r="C11" s="17" t="s">
        <v>28</v>
      </c>
    </row>
    <row r="12" spans="2:3" ht="15" x14ac:dyDescent="0.3">
      <c r="B12" s="6">
        <v>11</v>
      </c>
      <c r="C12" s="17" t="s">
        <v>29</v>
      </c>
    </row>
    <row r="13" spans="2:3" ht="15" x14ac:dyDescent="0.3">
      <c r="B13" s="6">
        <v>12</v>
      </c>
      <c r="C13" s="17" t="s">
        <v>31</v>
      </c>
    </row>
    <row r="14" spans="2:3" ht="15" x14ac:dyDescent="0.3">
      <c r="B14" s="6">
        <v>13</v>
      </c>
      <c r="C14" s="17" t="s">
        <v>32</v>
      </c>
    </row>
    <row r="15" spans="2:3" ht="15" x14ac:dyDescent="0.3">
      <c r="B15" s="6">
        <v>14</v>
      </c>
      <c r="C15" s="17" t="s">
        <v>33</v>
      </c>
    </row>
    <row r="16" spans="2:3" ht="15" x14ac:dyDescent="0.3">
      <c r="B16" s="6">
        <v>15</v>
      </c>
      <c r="C16" s="1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88CA-316A-4F9C-8043-34298399112C}">
  <dimension ref="A1:F5"/>
  <sheetViews>
    <sheetView workbookViewId="0">
      <selection activeCell="E4" sqref="E4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1" spans="1:6" x14ac:dyDescent="0.3">
      <c r="A1" s="15" t="s">
        <v>2</v>
      </c>
      <c r="B1" t="s" vm="1">
        <v>13</v>
      </c>
    </row>
    <row r="3" spans="1:6" ht="15" x14ac:dyDescent="0.3">
      <c r="A3" s="15" t="s">
        <v>35</v>
      </c>
      <c r="B3" t="s">
        <v>58</v>
      </c>
      <c r="E3">
        <v>1</v>
      </c>
      <c r="F3" s="17" t="s">
        <v>16</v>
      </c>
    </row>
    <row r="4" spans="1:6" x14ac:dyDescent="0.3">
      <c r="A4" s="9" t="s">
        <v>12</v>
      </c>
      <c r="B4" s="20">
        <v>9858800</v>
      </c>
    </row>
    <row r="5" spans="1:6" x14ac:dyDescent="0.3">
      <c r="A5" s="9" t="s">
        <v>37</v>
      </c>
      <c r="B5" s="20">
        <v>9858800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E40E-6CB4-4411-B75B-806EE5F2B22A}">
  <dimension ref="B2:I10"/>
  <sheetViews>
    <sheetView workbookViewId="0">
      <selection activeCell="C15" sqref="C15"/>
    </sheetView>
  </sheetViews>
  <sheetFormatPr defaultRowHeight="14.4" x14ac:dyDescent="0.3"/>
  <cols>
    <col min="2" max="2" width="23.88671875" bestFit="1" customWidth="1"/>
    <col min="3" max="3" width="20.44140625" bestFit="1" customWidth="1"/>
  </cols>
  <sheetData>
    <row r="2" spans="2:9" x14ac:dyDescent="0.3">
      <c r="B2" s="15" t="s">
        <v>2</v>
      </c>
      <c r="C2" t="s">
        <v>13</v>
      </c>
    </row>
    <row r="3" spans="2:9" ht="15" x14ac:dyDescent="0.3">
      <c r="B3" s="15" t="s">
        <v>1</v>
      </c>
      <c r="C3" t="s">
        <v>12</v>
      </c>
      <c r="H3">
        <v>2</v>
      </c>
      <c r="I3" s="17" t="s">
        <v>18</v>
      </c>
    </row>
    <row r="5" spans="2:9" x14ac:dyDescent="0.3">
      <c r="B5" s="15" t="s">
        <v>35</v>
      </c>
      <c r="C5" t="s">
        <v>60</v>
      </c>
    </row>
    <row r="6" spans="2:9" x14ac:dyDescent="0.3">
      <c r="B6" s="9" t="s">
        <v>30</v>
      </c>
      <c r="C6" s="20">
        <v>4</v>
      </c>
    </row>
    <row r="7" spans="2:9" x14ac:dyDescent="0.3">
      <c r="B7" s="9" t="s">
        <v>24</v>
      </c>
      <c r="C7" s="20">
        <v>10</v>
      </c>
    </row>
    <row r="8" spans="2:9" x14ac:dyDescent="0.3">
      <c r="B8" s="9" t="s">
        <v>17</v>
      </c>
      <c r="C8" s="20">
        <v>16</v>
      </c>
    </row>
    <row r="9" spans="2:9" x14ac:dyDescent="0.3">
      <c r="B9" s="9" t="s">
        <v>15</v>
      </c>
      <c r="C9" s="20">
        <v>12</v>
      </c>
    </row>
    <row r="10" spans="2:9" x14ac:dyDescent="0.3">
      <c r="B10" s="9" t="s">
        <v>37</v>
      </c>
      <c r="C10" s="20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8B98-B34B-475C-BD64-FAB5A55FD8C2}">
  <dimension ref="B2:C10"/>
  <sheetViews>
    <sheetView workbookViewId="0">
      <selection activeCell="D21" sqref="D21"/>
    </sheetView>
  </sheetViews>
  <sheetFormatPr defaultRowHeight="14.4" x14ac:dyDescent="0.3"/>
  <cols>
    <col min="2" max="2" width="23.88671875" bestFit="1" customWidth="1"/>
    <col min="3" max="3" width="14.88671875" bestFit="1" customWidth="1"/>
  </cols>
  <sheetData>
    <row r="2" spans="2:3" ht="15" x14ac:dyDescent="0.3">
      <c r="B2" s="17" t="s">
        <v>19</v>
      </c>
    </row>
    <row r="6" spans="2:3" x14ac:dyDescent="0.3">
      <c r="B6" s="15" t="s">
        <v>6</v>
      </c>
      <c r="C6" t="s">
        <v>14</v>
      </c>
    </row>
    <row r="8" spans="2:3" x14ac:dyDescent="0.3">
      <c r="B8" s="15" t="s">
        <v>35</v>
      </c>
      <c r="C8" t="s">
        <v>61</v>
      </c>
    </row>
    <row r="9" spans="2:3" x14ac:dyDescent="0.3">
      <c r="B9" s="9" t="s">
        <v>15</v>
      </c>
      <c r="C9" s="20">
        <v>880</v>
      </c>
    </row>
    <row r="10" spans="2:3" x14ac:dyDescent="0.3">
      <c r="B10" s="9" t="s">
        <v>37</v>
      </c>
      <c r="C10" s="20">
        <v>880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EB4B-01E7-496D-8EA2-D308C2B5D58A}">
  <dimension ref="B3:C87"/>
  <sheetViews>
    <sheetView workbookViewId="0">
      <selection activeCell="B8" sqref="B8"/>
    </sheetView>
  </sheetViews>
  <sheetFormatPr defaultRowHeight="14.4" x14ac:dyDescent="0.3"/>
  <cols>
    <col min="2" max="2" width="14" bestFit="1" customWidth="1"/>
    <col min="3" max="3" width="18.109375" bestFit="1" customWidth="1"/>
    <col min="4" max="7" width="12" bestFit="1" customWidth="1"/>
    <col min="8" max="40" width="6" bestFit="1" customWidth="1"/>
    <col min="41" max="41" width="10.77734375" bestFit="1" customWidth="1"/>
  </cols>
  <sheetData>
    <row r="3" spans="2:3" ht="15" x14ac:dyDescent="0.3">
      <c r="B3" s="17" t="s">
        <v>20</v>
      </c>
    </row>
    <row r="8" spans="2:3" x14ac:dyDescent="0.3">
      <c r="B8" s="15" t="s">
        <v>35</v>
      </c>
      <c r="C8" t="s">
        <v>62</v>
      </c>
    </row>
    <row r="9" spans="2:3" x14ac:dyDescent="0.3">
      <c r="B9" s="9">
        <v>24030</v>
      </c>
      <c r="C9" s="20">
        <v>75</v>
      </c>
    </row>
    <row r="10" spans="2:3" x14ac:dyDescent="0.3">
      <c r="B10" s="21" t="s">
        <v>21</v>
      </c>
      <c r="C10" s="20">
        <v>75</v>
      </c>
    </row>
    <row r="11" spans="2:3" x14ac:dyDescent="0.3">
      <c r="B11" s="9">
        <v>24031</v>
      </c>
      <c r="C11" s="20">
        <v>73.333333333333329</v>
      </c>
    </row>
    <row r="12" spans="2:3" x14ac:dyDescent="0.3">
      <c r="B12" s="21" t="s">
        <v>21</v>
      </c>
      <c r="C12" s="20">
        <v>73.333333333333329</v>
      </c>
    </row>
    <row r="13" spans="2:3" x14ac:dyDescent="0.3">
      <c r="B13" s="9">
        <v>25442</v>
      </c>
      <c r="C13" s="20">
        <v>50</v>
      </c>
    </row>
    <row r="14" spans="2:3" x14ac:dyDescent="0.3">
      <c r="B14" s="21" t="s">
        <v>14</v>
      </c>
      <c r="C14" s="20">
        <v>50</v>
      </c>
    </row>
    <row r="15" spans="2:3" x14ac:dyDescent="0.3">
      <c r="B15" s="9">
        <v>28112</v>
      </c>
      <c r="C15" s="20">
        <v>55.714285714285715</v>
      </c>
    </row>
    <row r="16" spans="2:3" x14ac:dyDescent="0.3">
      <c r="B16" s="21" t="s">
        <v>21</v>
      </c>
      <c r="C16" s="20">
        <v>55.714285714285715</v>
      </c>
    </row>
    <row r="17" spans="2:3" x14ac:dyDescent="0.3">
      <c r="B17" s="9">
        <v>44015</v>
      </c>
      <c r="C17" s="20">
        <v>65</v>
      </c>
    </row>
    <row r="18" spans="2:3" x14ac:dyDescent="0.3">
      <c r="B18" s="21" t="s">
        <v>52</v>
      </c>
      <c r="C18" s="20">
        <v>65</v>
      </c>
    </row>
    <row r="19" spans="2:3" x14ac:dyDescent="0.3">
      <c r="B19" s="9">
        <v>44016</v>
      </c>
      <c r="C19" s="20">
        <v>60</v>
      </c>
    </row>
    <row r="20" spans="2:3" x14ac:dyDescent="0.3">
      <c r="B20" s="21" t="s">
        <v>54</v>
      </c>
      <c r="C20" s="20">
        <v>60</v>
      </c>
    </row>
    <row r="21" spans="2:3" x14ac:dyDescent="0.3">
      <c r="B21" s="9">
        <v>44017</v>
      </c>
      <c r="C21" s="20">
        <v>70</v>
      </c>
    </row>
    <row r="22" spans="2:3" x14ac:dyDescent="0.3">
      <c r="B22" s="21" t="s">
        <v>52</v>
      </c>
      <c r="C22" s="20">
        <v>70</v>
      </c>
    </row>
    <row r="23" spans="2:3" x14ac:dyDescent="0.3">
      <c r="B23" s="9">
        <v>44030</v>
      </c>
      <c r="C23" s="20">
        <v>60</v>
      </c>
    </row>
    <row r="24" spans="2:3" x14ac:dyDescent="0.3">
      <c r="B24" s="21" t="s">
        <v>52</v>
      </c>
      <c r="C24" s="20">
        <v>60</v>
      </c>
    </row>
    <row r="25" spans="2:3" x14ac:dyDescent="0.3">
      <c r="B25" s="9">
        <v>44031</v>
      </c>
      <c r="C25" s="20">
        <v>56.666666666666664</v>
      </c>
    </row>
    <row r="26" spans="2:3" x14ac:dyDescent="0.3">
      <c r="B26" s="21" t="s">
        <v>54</v>
      </c>
      <c r="C26" s="20">
        <v>56.666666666666664</v>
      </c>
    </row>
    <row r="27" spans="2:3" x14ac:dyDescent="0.3">
      <c r="B27" s="9">
        <v>44032</v>
      </c>
      <c r="C27" s="20">
        <v>65</v>
      </c>
    </row>
    <row r="28" spans="2:3" x14ac:dyDescent="0.3">
      <c r="B28" s="21" t="s">
        <v>52</v>
      </c>
      <c r="C28" s="20">
        <v>65</v>
      </c>
    </row>
    <row r="29" spans="2:3" x14ac:dyDescent="0.3">
      <c r="B29" s="9">
        <v>45427</v>
      </c>
      <c r="C29" s="20">
        <v>65</v>
      </c>
    </row>
    <row r="30" spans="2:3" x14ac:dyDescent="0.3">
      <c r="B30" s="21" t="s">
        <v>54</v>
      </c>
      <c r="C30" s="20">
        <v>65</v>
      </c>
    </row>
    <row r="31" spans="2:3" x14ac:dyDescent="0.3">
      <c r="B31" s="9">
        <v>45429</v>
      </c>
      <c r="C31" s="20">
        <v>70</v>
      </c>
    </row>
    <row r="32" spans="2:3" x14ac:dyDescent="0.3">
      <c r="B32" s="21" t="s">
        <v>52</v>
      </c>
      <c r="C32" s="20">
        <v>70</v>
      </c>
    </row>
    <row r="33" spans="2:3" x14ac:dyDescent="0.3">
      <c r="B33" s="9">
        <v>45431</v>
      </c>
      <c r="C33" s="20">
        <v>60</v>
      </c>
    </row>
    <row r="34" spans="2:3" x14ac:dyDescent="0.3">
      <c r="B34" s="21" t="s">
        <v>54</v>
      </c>
      <c r="C34" s="20">
        <v>60</v>
      </c>
    </row>
    <row r="35" spans="2:3" x14ac:dyDescent="0.3">
      <c r="B35" s="9">
        <v>45442</v>
      </c>
      <c r="C35" s="20">
        <v>55</v>
      </c>
    </row>
    <row r="36" spans="2:3" x14ac:dyDescent="0.3">
      <c r="B36" s="21" t="s">
        <v>54</v>
      </c>
      <c r="C36" s="20">
        <v>55</v>
      </c>
    </row>
    <row r="37" spans="2:3" x14ac:dyDescent="0.3">
      <c r="B37" s="9">
        <v>45444</v>
      </c>
      <c r="C37" s="20">
        <v>63.333333333333336</v>
      </c>
    </row>
    <row r="38" spans="2:3" x14ac:dyDescent="0.3">
      <c r="B38" s="21" t="s">
        <v>52</v>
      </c>
      <c r="C38" s="20">
        <v>63.333333333333336</v>
      </c>
    </row>
    <row r="39" spans="2:3" x14ac:dyDescent="0.3">
      <c r="B39" s="9">
        <v>45446</v>
      </c>
      <c r="C39" s="20">
        <v>65</v>
      </c>
    </row>
    <row r="40" spans="2:3" x14ac:dyDescent="0.3">
      <c r="B40" s="21" t="s">
        <v>54</v>
      </c>
      <c r="C40" s="20">
        <v>65</v>
      </c>
    </row>
    <row r="41" spans="2:3" x14ac:dyDescent="0.3">
      <c r="B41" s="9">
        <v>48097</v>
      </c>
      <c r="C41" s="20">
        <v>65</v>
      </c>
    </row>
    <row r="42" spans="2:3" x14ac:dyDescent="0.3">
      <c r="B42" s="21" t="s">
        <v>52</v>
      </c>
      <c r="C42" s="20">
        <v>65</v>
      </c>
    </row>
    <row r="43" spans="2:3" x14ac:dyDescent="0.3">
      <c r="B43" s="9">
        <v>48099</v>
      </c>
      <c r="C43" s="20">
        <v>60</v>
      </c>
    </row>
    <row r="44" spans="2:3" x14ac:dyDescent="0.3">
      <c r="B44" s="21" t="s">
        <v>54</v>
      </c>
      <c r="C44" s="20">
        <v>60</v>
      </c>
    </row>
    <row r="45" spans="2:3" x14ac:dyDescent="0.3">
      <c r="B45" s="9">
        <v>48101</v>
      </c>
      <c r="C45" s="20">
        <v>55</v>
      </c>
    </row>
    <row r="46" spans="2:3" x14ac:dyDescent="0.3">
      <c r="B46" s="21" t="s">
        <v>52</v>
      </c>
      <c r="C46" s="20">
        <v>55</v>
      </c>
    </row>
    <row r="47" spans="2:3" x14ac:dyDescent="0.3">
      <c r="B47" s="9">
        <v>48112</v>
      </c>
      <c r="C47" s="20">
        <v>55</v>
      </c>
    </row>
    <row r="48" spans="2:3" x14ac:dyDescent="0.3">
      <c r="B48" s="21" t="s">
        <v>52</v>
      </c>
      <c r="C48" s="20">
        <v>55</v>
      </c>
    </row>
    <row r="49" spans="2:3" x14ac:dyDescent="0.3">
      <c r="B49" s="9">
        <v>48114</v>
      </c>
      <c r="C49" s="20">
        <v>66.666666666666671</v>
      </c>
    </row>
    <row r="50" spans="2:3" x14ac:dyDescent="0.3">
      <c r="B50" s="21" t="s">
        <v>54</v>
      </c>
      <c r="C50" s="20">
        <v>66.666666666666671</v>
      </c>
    </row>
    <row r="51" spans="2:3" x14ac:dyDescent="0.3">
      <c r="B51" s="9">
        <v>48116</v>
      </c>
      <c r="C51" s="20">
        <v>60</v>
      </c>
    </row>
    <row r="52" spans="2:3" x14ac:dyDescent="0.3">
      <c r="B52" s="21" t="s">
        <v>52</v>
      </c>
      <c r="C52" s="20">
        <v>60</v>
      </c>
    </row>
    <row r="53" spans="2:3" x14ac:dyDescent="0.3">
      <c r="B53" s="9">
        <v>65627</v>
      </c>
      <c r="C53" s="20">
        <v>150</v>
      </c>
    </row>
    <row r="54" spans="2:3" x14ac:dyDescent="0.3">
      <c r="B54" s="21" t="s">
        <v>21</v>
      </c>
      <c r="C54" s="20">
        <v>150</v>
      </c>
    </row>
    <row r="55" spans="2:3" x14ac:dyDescent="0.3">
      <c r="B55" s="9">
        <v>65629</v>
      </c>
      <c r="C55" s="20">
        <v>153.33333333333334</v>
      </c>
    </row>
    <row r="56" spans="2:3" x14ac:dyDescent="0.3">
      <c r="B56" s="21" t="s">
        <v>14</v>
      </c>
      <c r="C56" s="20">
        <v>153.33333333333334</v>
      </c>
    </row>
    <row r="57" spans="2:3" x14ac:dyDescent="0.3">
      <c r="B57" s="9">
        <v>65631</v>
      </c>
      <c r="C57" s="20">
        <v>155</v>
      </c>
    </row>
    <row r="58" spans="2:3" x14ac:dyDescent="0.3">
      <c r="B58" s="21" t="s">
        <v>21</v>
      </c>
      <c r="C58" s="20">
        <v>155</v>
      </c>
    </row>
    <row r="59" spans="2:3" x14ac:dyDescent="0.3">
      <c r="B59" s="9">
        <v>65662</v>
      </c>
      <c r="C59" s="20">
        <v>115</v>
      </c>
    </row>
    <row r="60" spans="2:3" x14ac:dyDescent="0.3">
      <c r="B60" s="21" t="s">
        <v>21</v>
      </c>
      <c r="C60" s="20">
        <v>115</v>
      </c>
    </row>
    <row r="61" spans="2:3" x14ac:dyDescent="0.3">
      <c r="B61" s="9">
        <v>65666</v>
      </c>
      <c r="C61" s="20">
        <v>148</v>
      </c>
    </row>
    <row r="62" spans="2:3" x14ac:dyDescent="0.3">
      <c r="B62" s="21" t="s">
        <v>14</v>
      </c>
      <c r="C62" s="20">
        <v>140</v>
      </c>
    </row>
    <row r="63" spans="2:3" x14ac:dyDescent="0.3">
      <c r="B63" s="21" t="s">
        <v>21</v>
      </c>
      <c r="C63" s="20">
        <v>160</v>
      </c>
    </row>
    <row r="64" spans="2:3" x14ac:dyDescent="0.3">
      <c r="B64" s="9">
        <v>66015</v>
      </c>
      <c r="C64" s="20">
        <v>140</v>
      </c>
    </row>
    <row r="65" spans="2:3" x14ac:dyDescent="0.3">
      <c r="B65" s="21" t="s">
        <v>14</v>
      </c>
      <c r="C65" s="20">
        <v>140</v>
      </c>
    </row>
    <row r="66" spans="2:3" x14ac:dyDescent="0.3">
      <c r="B66" s="9">
        <v>66016</v>
      </c>
      <c r="C66" s="20">
        <v>123.33333333333333</v>
      </c>
    </row>
    <row r="67" spans="2:3" x14ac:dyDescent="0.3">
      <c r="B67" s="21" t="s">
        <v>21</v>
      </c>
      <c r="C67" s="20">
        <v>123.33333333333333</v>
      </c>
    </row>
    <row r="68" spans="2:3" x14ac:dyDescent="0.3">
      <c r="B68" s="9">
        <v>66017</v>
      </c>
      <c r="C68" s="20">
        <v>140</v>
      </c>
    </row>
    <row r="69" spans="2:3" x14ac:dyDescent="0.3">
      <c r="B69" s="21" t="s">
        <v>14</v>
      </c>
      <c r="C69" s="20">
        <v>140</v>
      </c>
    </row>
    <row r="70" spans="2:3" x14ac:dyDescent="0.3">
      <c r="B70" s="9">
        <v>66030</v>
      </c>
      <c r="C70" s="20">
        <v>135</v>
      </c>
    </row>
    <row r="71" spans="2:3" x14ac:dyDescent="0.3">
      <c r="B71" s="21" t="s">
        <v>14</v>
      </c>
      <c r="C71" s="20">
        <v>135</v>
      </c>
    </row>
    <row r="72" spans="2:3" x14ac:dyDescent="0.3">
      <c r="B72" s="9">
        <v>66031</v>
      </c>
      <c r="C72" s="20">
        <v>130</v>
      </c>
    </row>
    <row r="73" spans="2:3" x14ac:dyDescent="0.3">
      <c r="B73" s="21" t="s">
        <v>21</v>
      </c>
      <c r="C73" s="20">
        <v>130</v>
      </c>
    </row>
    <row r="74" spans="2:3" x14ac:dyDescent="0.3">
      <c r="B74" s="9">
        <v>66032</v>
      </c>
      <c r="C74" s="20">
        <v>155</v>
      </c>
    </row>
    <row r="75" spans="2:3" x14ac:dyDescent="0.3">
      <c r="B75" s="21" t="s">
        <v>14</v>
      </c>
      <c r="C75" s="20">
        <v>155</v>
      </c>
    </row>
    <row r="76" spans="2:3" x14ac:dyDescent="0.3">
      <c r="B76" s="9">
        <v>68097</v>
      </c>
      <c r="C76" s="20">
        <v>135</v>
      </c>
    </row>
    <row r="77" spans="2:3" x14ac:dyDescent="0.3">
      <c r="B77" s="21" t="s">
        <v>14</v>
      </c>
      <c r="C77" s="20">
        <v>135</v>
      </c>
    </row>
    <row r="78" spans="2:3" x14ac:dyDescent="0.3">
      <c r="B78" s="9">
        <v>68099</v>
      </c>
      <c r="C78" s="20">
        <v>143.33333333333334</v>
      </c>
    </row>
    <row r="79" spans="2:3" x14ac:dyDescent="0.3">
      <c r="B79" s="21" t="s">
        <v>21</v>
      </c>
      <c r="C79" s="20">
        <v>143.33333333333334</v>
      </c>
    </row>
    <row r="80" spans="2:3" x14ac:dyDescent="0.3">
      <c r="B80" s="9">
        <v>68101</v>
      </c>
      <c r="C80" s="20">
        <v>165</v>
      </c>
    </row>
    <row r="81" spans="2:3" x14ac:dyDescent="0.3">
      <c r="B81" s="21" t="s">
        <v>14</v>
      </c>
      <c r="C81" s="20">
        <v>165</v>
      </c>
    </row>
    <row r="82" spans="2:3" x14ac:dyDescent="0.3">
      <c r="B82" s="9">
        <v>68112</v>
      </c>
      <c r="C82" s="20">
        <v>150</v>
      </c>
    </row>
    <row r="83" spans="2:3" x14ac:dyDescent="0.3">
      <c r="B83" s="21" t="s">
        <v>14</v>
      </c>
      <c r="C83" s="20">
        <v>150</v>
      </c>
    </row>
    <row r="84" spans="2:3" x14ac:dyDescent="0.3">
      <c r="B84" s="9">
        <v>68116</v>
      </c>
      <c r="C84" s="20">
        <v>170</v>
      </c>
    </row>
    <row r="85" spans="2:3" x14ac:dyDescent="0.3">
      <c r="B85" s="21" t="s">
        <v>14</v>
      </c>
      <c r="C85" s="20">
        <v>175</v>
      </c>
    </row>
    <row r="86" spans="2:3" x14ac:dyDescent="0.3">
      <c r="B86" s="21" t="s">
        <v>21</v>
      </c>
      <c r="C86" s="20">
        <v>166.66666666666666</v>
      </c>
    </row>
    <row r="87" spans="2:3" x14ac:dyDescent="0.3">
      <c r="B87" s="9" t="s">
        <v>37</v>
      </c>
      <c r="C87" s="20">
        <v>95.142857142857139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B202-F58B-46CB-8DC4-A9FE292F01D0}">
  <dimension ref="B3:G23"/>
  <sheetViews>
    <sheetView workbookViewId="0">
      <selection activeCell="C19" sqref="C19"/>
    </sheetView>
  </sheetViews>
  <sheetFormatPr defaultRowHeight="14.4" x14ac:dyDescent="0.3"/>
  <cols>
    <col min="2" max="2" width="23.88671875" bestFit="1" customWidth="1"/>
    <col min="6" max="6" width="31.109375" customWidth="1"/>
    <col min="7" max="7" width="18.109375" customWidth="1"/>
  </cols>
  <sheetData>
    <row r="3" spans="2:7" ht="15" x14ac:dyDescent="0.3">
      <c r="B3" s="17" t="s">
        <v>22</v>
      </c>
    </row>
    <row r="12" spans="2:7" x14ac:dyDescent="0.3">
      <c r="F12" s="15" t="s">
        <v>35</v>
      </c>
      <c r="G12" t="s">
        <v>36</v>
      </c>
    </row>
    <row r="13" spans="2:7" x14ac:dyDescent="0.3">
      <c r="F13" s="9" t="s">
        <v>24</v>
      </c>
      <c r="G13">
        <v>14300</v>
      </c>
    </row>
    <row r="14" spans="2:7" x14ac:dyDescent="0.3">
      <c r="F14" s="10">
        <v>43986</v>
      </c>
      <c r="G14">
        <v>1600</v>
      </c>
    </row>
    <row r="15" spans="2:7" x14ac:dyDescent="0.3">
      <c r="F15" s="10">
        <v>43989</v>
      </c>
      <c r="G15">
        <v>1000</v>
      </c>
    </row>
    <row r="16" spans="2:7" x14ac:dyDescent="0.3">
      <c r="F16" s="10">
        <v>43991</v>
      </c>
      <c r="G16">
        <v>1200</v>
      </c>
    </row>
    <row r="17" spans="6:7" x14ac:dyDescent="0.3">
      <c r="F17" s="10">
        <v>43993</v>
      </c>
      <c r="G17">
        <v>1900</v>
      </c>
    </row>
    <row r="18" spans="6:7" x14ac:dyDescent="0.3">
      <c r="F18" s="10">
        <v>43996</v>
      </c>
      <c r="G18">
        <v>1900</v>
      </c>
    </row>
    <row r="19" spans="6:7" x14ac:dyDescent="0.3">
      <c r="F19" s="10">
        <v>43998</v>
      </c>
      <c r="G19">
        <v>2600</v>
      </c>
    </row>
    <row r="20" spans="6:7" x14ac:dyDescent="0.3">
      <c r="F20" s="10">
        <v>44000</v>
      </c>
      <c r="G20">
        <v>1300</v>
      </c>
    </row>
    <row r="21" spans="6:7" x14ac:dyDescent="0.3">
      <c r="F21" s="10">
        <v>44002</v>
      </c>
      <c r="G21">
        <v>1400</v>
      </c>
    </row>
    <row r="22" spans="6:7" x14ac:dyDescent="0.3">
      <c r="F22" s="10">
        <v>44003</v>
      </c>
      <c r="G22">
        <v>1400</v>
      </c>
    </row>
    <row r="23" spans="6:7" x14ac:dyDescent="0.3">
      <c r="F23" s="9" t="s">
        <v>37</v>
      </c>
      <c r="G23">
        <v>14300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5848-B6BE-4550-A8EF-1DF22A7B5FF5}">
  <dimension ref="B3:E16"/>
  <sheetViews>
    <sheetView workbookViewId="0">
      <selection activeCell="G15" sqref="G15"/>
    </sheetView>
  </sheetViews>
  <sheetFormatPr defaultRowHeight="14.4" x14ac:dyDescent="0.3"/>
  <cols>
    <col min="4" max="4" width="27.88671875" bestFit="1" customWidth="1"/>
    <col min="5" max="5" width="16.44140625" bestFit="1" customWidth="1"/>
  </cols>
  <sheetData>
    <row r="3" spans="2:5" ht="15" x14ac:dyDescent="0.3">
      <c r="B3" s="17" t="s">
        <v>23</v>
      </c>
    </row>
    <row r="10" spans="2:5" x14ac:dyDescent="0.3">
      <c r="D10" s="15" t="s">
        <v>35</v>
      </c>
      <c r="E10" t="s">
        <v>58</v>
      </c>
    </row>
    <row r="11" spans="2:5" x14ac:dyDescent="0.3">
      <c r="D11" s="9" t="s">
        <v>12</v>
      </c>
      <c r="E11" s="20">
        <v>9858800</v>
      </c>
    </row>
    <row r="12" spans="2:5" x14ac:dyDescent="0.3">
      <c r="D12" s="22" t="s">
        <v>17</v>
      </c>
      <c r="E12" s="23">
        <v>4146000</v>
      </c>
    </row>
    <row r="13" spans="2:5" x14ac:dyDescent="0.3">
      <c r="D13" s="21" t="s">
        <v>15</v>
      </c>
      <c r="E13" s="20">
        <v>3064800</v>
      </c>
    </row>
    <row r="14" spans="2:5" x14ac:dyDescent="0.3">
      <c r="D14" s="21" t="s">
        <v>24</v>
      </c>
      <c r="E14" s="20">
        <v>2123000</v>
      </c>
    </row>
    <row r="15" spans="2:5" x14ac:dyDescent="0.3">
      <c r="D15" s="21" t="s">
        <v>30</v>
      </c>
      <c r="E15" s="20">
        <v>525000</v>
      </c>
    </row>
    <row r="16" spans="2:5" x14ac:dyDescent="0.3">
      <c r="D16" s="9" t="s">
        <v>37</v>
      </c>
      <c r="E16" s="20">
        <v>9858800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3EED-A8F3-48AC-95ED-A07669D719E6}">
  <dimension ref="B3:C26"/>
  <sheetViews>
    <sheetView workbookViewId="0">
      <selection activeCell="B9" sqref="B9"/>
    </sheetView>
  </sheetViews>
  <sheetFormatPr defaultRowHeight="14.4" x14ac:dyDescent="0.3"/>
  <cols>
    <col min="2" max="2" width="23.88671875" bestFit="1" customWidth="1"/>
    <col min="3" max="3" width="16.44140625" bestFit="1" customWidth="1"/>
  </cols>
  <sheetData>
    <row r="3" spans="2:3" ht="15" x14ac:dyDescent="0.3">
      <c r="B3" s="17" t="s">
        <v>25</v>
      </c>
    </row>
    <row r="9" spans="2:3" x14ac:dyDescent="0.3">
      <c r="B9" s="15" t="s">
        <v>35</v>
      </c>
      <c r="C9" t="s">
        <v>58</v>
      </c>
    </row>
    <row r="10" spans="2:3" x14ac:dyDescent="0.3">
      <c r="B10" s="9" t="s">
        <v>43</v>
      </c>
      <c r="C10" s="20">
        <v>1759800</v>
      </c>
    </row>
    <row r="11" spans="2:3" x14ac:dyDescent="0.3">
      <c r="B11" s="9" t="s">
        <v>53</v>
      </c>
      <c r="C11" s="20">
        <v>2118400</v>
      </c>
    </row>
    <row r="12" spans="2:3" x14ac:dyDescent="0.3">
      <c r="B12" s="9" t="s">
        <v>42</v>
      </c>
      <c r="C12" s="20">
        <v>44500</v>
      </c>
    </row>
    <row r="13" spans="2:3" x14ac:dyDescent="0.3">
      <c r="B13" s="9" t="s">
        <v>44</v>
      </c>
      <c r="C13" s="20">
        <v>250000</v>
      </c>
    </row>
    <row r="14" spans="2:3" x14ac:dyDescent="0.3">
      <c r="B14" s="9" t="s">
        <v>45</v>
      </c>
      <c r="C14" s="20">
        <v>62500</v>
      </c>
    </row>
    <row r="15" spans="2:3" x14ac:dyDescent="0.3">
      <c r="B15" s="9" t="s">
        <v>47</v>
      </c>
      <c r="C15" s="20">
        <v>264600</v>
      </c>
    </row>
    <row r="16" spans="2:3" x14ac:dyDescent="0.3">
      <c r="B16" s="9" t="s">
        <v>46</v>
      </c>
      <c r="C16" s="20">
        <v>230400</v>
      </c>
    </row>
    <row r="17" spans="2:3" x14ac:dyDescent="0.3">
      <c r="B17" s="9" t="s">
        <v>41</v>
      </c>
      <c r="C17" s="20">
        <v>70800</v>
      </c>
    </row>
    <row r="18" spans="2:3" x14ac:dyDescent="0.3">
      <c r="B18" s="9" t="s">
        <v>40</v>
      </c>
      <c r="C18" s="20">
        <v>361200</v>
      </c>
    </row>
    <row r="19" spans="2:3" x14ac:dyDescent="0.3">
      <c r="B19" s="9" t="s">
        <v>55</v>
      </c>
      <c r="C19" s="20">
        <v>2318100</v>
      </c>
    </row>
    <row r="20" spans="2:3" x14ac:dyDescent="0.3">
      <c r="B20" s="9" t="s">
        <v>56</v>
      </c>
      <c r="C20" s="20">
        <v>470000</v>
      </c>
    </row>
    <row r="21" spans="2:3" x14ac:dyDescent="0.3">
      <c r="B21" s="9" t="s">
        <v>48</v>
      </c>
      <c r="C21" s="20">
        <v>21600</v>
      </c>
    </row>
    <row r="22" spans="2:3" x14ac:dyDescent="0.3">
      <c r="B22" s="9" t="s">
        <v>30</v>
      </c>
      <c r="C22" s="20">
        <v>525000</v>
      </c>
    </row>
    <row r="23" spans="2:3" x14ac:dyDescent="0.3">
      <c r="B23" s="9" t="s">
        <v>24</v>
      </c>
      <c r="C23" s="20">
        <v>2123000</v>
      </c>
    </row>
    <row r="24" spans="2:3" x14ac:dyDescent="0.3">
      <c r="B24" s="9" t="s">
        <v>17</v>
      </c>
      <c r="C24" s="20">
        <v>4146000</v>
      </c>
    </row>
    <row r="25" spans="2:3" x14ac:dyDescent="0.3">
      <c r="B25" s="9" t="s">
        <v>15</v>
      </c>
      <c r="C25" s="20">
        <v>3064800</v>
      </c>
    </row>
    <row r="26" spans="2:3" x14ac:dyDescent="0.3">
      <c r="B26" s="9" t="s">
        <v>37</v>
      </c>
      <c r="C26" s="20">
        <v>17830700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600F-CF27-44C1-BD55-1E73D3B7022F}">
  <dimension ref="B3:D27"/>
  <sheetViews>
    <sheetView workbookViewId="0">
      <selection activeCell="C12" sqref="C12"/>
    </sheetView>
  </sheetViews>
  <sheetFormatPr defaultRowHeight="14.4" x14ac:dyDescent="0.3"/>
  <cols>
    <col min="2" max="2" width="23.88671875" bestFit="1" customWidth="1"/>
    <col min="3" max="3" width="19.6640625" bestFit="1" customWidth="1"/>
    <col min="4" max="4" width="21.109375" bestFit="1" customWidth="1"/>
  </cols>
  <sheetData>
    <row r="3" spans="2:4" ht="15" x14ac:dyDescent="0.3">
      <c r="B3" s="17" t="s">
        <v>26</v>
      </c>
    </row>
    <row r="7" spans="2:4" x14ac:dyDescent="0.3">
      <c r="B7" s="15" t="s">
        <v>1</v>
      </c>
      <c r="C7" t="s">
        <v>59</v>
      </c>
    </row>
    <row r="8" spans="2:4" x14ac:dyDescent="0.3">
      <c r="B8" s="15" t="s">
        <v>2</v>
      </c>
      <c r="C8" t="s">
        <v>59</v>
      </c>
    </row>
    <row r="10" spans="2:4" x14ac:dyDescent="0.3">
      <c r="B10" s="15" t="s">
        <v>35</v>
      </c>
      <c r="C10" t="s">
        <v>63</v>
      </c>
      <c r="D10" t="s">
        <v>64</v>
      </c>
    </row>
    <row r="11" spans="2:4" x14ac:dyDescent="0.3">
      <c r="B11" s="9" t="s">
        <v>43</v>
      </c>
      <c r="C11" s="20">
        <v>117320</v>
      </c>
      <c r="D11" s="20">
        <v>612933</v>
      </c>
    </row>
    <row r="12" spans="2:4" x14ac:dyDescent="0.3">
      <c r="B12" s="9" t="s">
        <v>53</v>
      </c>
      <c r="C12" s="20">
        <v>132400</v>
      </c>
      <c r="D12" s="20">
        <v>734522</v>
      </c>
    </row>
    <row r="13" spans="2:4" x14ac:dyDescent="0.3">
      <c r="B13" s="9" t="s">
        <v>42</v>
      </c>
      <c r="C13" s="20">
        <v>14833.333333333334</v>
      </c>
      <c r="D13" s="20">
        <v>77584</v>
      </c>
    </row>
    <row r="14" spans="2:4" x14ac:dyDescent="0.3">
      <c r="B14" s="9" t="s">
        <v>44</v>
      </c>
      <c r="C14" s="20">
        <v>250000</v>
      </c>
      <c r="D14" s="20">
        <v>24031</v>
      </c>
    </row>
    <row r="15" spans="2:4" x14ac:dyDescent="0.3">
      <c r="B15" s="9" t="s">
        <v>45</v>
      </c>
      <c r="C15" s="20">
        <v>62500</v>
      </c>
      <c r="D15" s="20">
        <v>28112</v>
      </c>
    </row>
    <row r="16" spans="2:4" x14ac:dyDescent="0.3">
      <c r="B16" s="9" t="s">
        <v>47</v>
      </c>
      <c r="C16" s="20">
        <v>88200</v>
      </c>
      <c r="D16" s="20">
        <v>78996</v>
      </c>
    </row>
    <row r="17" spans="2:4" x14ac:dyDescent="0.3">
      <c r="B17" s="9" t="s">
        <v>46</v>
      </c>
      <c r="C17" s="20">
        <v>115200</v>
      </c>
      <c r="D17" s="20">
        <v>53554</v>
      </c>
    </row>
    <row r="18" spans="2:4" x14ac:dyDescent="0.3">
      <c r="B18" s="9" t="s">
        <v>41</v>
      </c>
      <c r="C18" s="20">
        <v>23600</v>
      </c>
      <c r="D18" s="20">
        <v>77584</v>
      </c>
    </row>
    <row r="19" spans="2:4" x14ac:dyDescent="0.3">
      <c r="B19" s="9" t="s">
        <v>40</v>
      </c>
      <c r="C19" s="20">
        <v>90300</v>
      </c>
      <c r="D19" s="20">
        <v>101615</v>
      </c>
    </row>
    <row r="20" spans="2:4" x14ac:dyDescent="0.3">
      <c r="B20" s="9" t="s">
        <v>55</v>
      </c>
      <c r="C20" s="20">
        <v>231810</v>
      </c>
      <c r="D20" s="20">
        <v>467559</v>
      </c>
    </row>
    <row r="21" spans="2:4" x14ac:dyDescent="0.3">
      <c r="B21" s="9" t="s">
        <v>56</v>
      </c>
      <c r="C21" s="20">
        <v>117500</v>
      </c>
      <c r="D21" s="20">
        <v>187090</v>
      </c>
    </row>
    <row r="22" spans="2:4" x14ac:dyDescent="0.3">
      <c r="B22" s="9" t="s">
        <v>48</v>
      </c>
      <c r="C22" s="20">
        <v>21600</v>
      </c>
      <c r="D22" s="20">
        <v>25442</v>
      </c>
    </row>
    <row r="23" spans="2:4" x14ac:dyDescent="0.3">
      <c r="B23" s="9" t="s">
        <v>30</v>
      </c>
      <c r="C23" s="20">
        <v>131250</v>
      </c>
      <c r="D23" s="20">
        <v>267512</v>
      </c>
    </row>
    <row r="24" spans="2:4" x14ac:dyDescent="0.3">
      <c r="B24" s="9" t="s">
        <v>24</v>
      </c>
      <c r="C24" s="20">
        <v>212300</v>
      </c>
      <c r="D24" s="20">
        <v>671983</v>
      </c>
    </row>
    <row r="25" spans="2:4" x14ac:dyDescent="0.3">
      <c r="B25" s="9" t="s">
        <v>17</v>
      </c>
      <c r="C25" s="20">
        <v>259125</v>
      </c>
      <c r="D25" s="20">
        <v>1067366</v>
      </c>
    </row>
    <row r="26" spans="2:4" x14ac:dyDescent="0.3">
      <c r="B26" s="9" t="s">
        <v>15</v>
      </c>
      <c r="C26" s="20">
        <v>255400</v>
      </c>
      <c r="D26" s="20">
        <v>790022</v>
      </c>
    </row>
    <row r="27" spans="2:4" x14ac:dyDescent="0.3">
      <c r="B27" s="9" t="s">
        <v>37</v>
      </c>
      <c r="C27" s="20">
        <v>169816.19047619047</v>
      </c>
      <c r="D27" s="20">
        <v>5265905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129B-4951-427A-873C-4DC4DC709835}">
  <dimension ref="B3:C15"/>
  <sheetViews>
    <sheetView workbookViewId="0">
      <selection activeCell="B10" sqref="B10"/>
    </sheetView>
  </sheetViews>
  <sheetFormatPr defaultRowHeight="14.4" x14ac:dyDescent="0.3"/>
  <cols>
    <col min="2" max="2" width="12.5546875" bestFit="1" customWidth="1"/>
    <col min="3" max="3" width="22.5546875" bestFit="1" customWidth="1"/>
  </cols>
  <sheetData>
    <row r="3" spans="2:3" ht="15" x14ac:dyDescent="0.3">
      <c r="B3" s="17" t="s">
        <v>27</v>
      </c>
    </row>
    <row r="10" spans="2:3" x14ac:dyDescent="0.3">
      <c r="B10" s="15" t="s">
        <v>35</v>
      </c>
      <c r="C10" t="s">
        <v>65</v>
      </c>
    </row>
    <row r="11" spans="2:3" x14ac:dyDescent="0.3">
      <c r="B11" s="9" t="s">
        <v>54</v>
      </c>
      <c r="C11" s="20">
        <v>20</v>
      </c>
    </row>
    <row r="12" spans="2:3" x14ac:dyDescent="0.3">
      <c r="B12" s="9" t="s">
        <v>14</v>
      </c>
      <c r="C12" s="20">
        <v>29</v>
      </c>
    </row>
    <row r="13" spans="2:3" x14ac:dyDescent="0.3">
      <c r="B13" s="9" t="s">
        <v>21</v>
      </c>
      <c r="C13" s="20">
        <v>34</v>
      </c>
    </row>
    <row r="14" spans="2:3" x14ac:dyDescent="0.3">
      <c r="B14" s="9" t="s">
        <v>52</v>
      </c>
      <c r="C14" s="20">
        <v>22</v>
      </c>
    </row>
    <row r="15" spans="2:3" x14ac:dyDescent="0.3">
      <c r="B15" s="9" t="s">
        <v>37</v>
      </c>
      <c r="C15" s="20">
        <v>105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D7B9-9BF4-46C2-BE35-E9329831E4C6}">
  <dimension ref="B3:C53"/>
  <sheetViews>
    <sheetView workbookViewId="0">
      <selection activeCell="B8" sqref="B8"/>
    </sheetView>
  </sheetViews>
  <sheetFormatPr defaultRowHeight="14.4" x14ac:dyDescent="0.3"/>
  <cols>
    <col min="2" max="2" width="26.6640625" bestFit="1" customWidth="1"/>
    <col min="3" max="3" width="19" bestFit="1" customWidth="1"/>
  </cols>
  <sheetData>
    <row r="3" spans="2:3" ht="15" x14ac:dyDescent="0.3">
      <c r="B3" s="17" t="s">
        <v>28</v>
      </c>
    </row>
    <row r="8" spans="2:3" x14ac:dyDescent="0.3">
      <c r="B8" s="15" t="s">
        <v>35</v>
      </c>
      <c r="C8" t="s">
        <v>66</v>
      </c>
    </row>
    <row r="9" spans="2:3" x14ac:dyDescent="0.3">
      <c r="B9" s="9" t="s">
        <v>43</v>
      </c>
      <c r="C9" s="20">
        <v>1847.3333333333333</v>
      </c>
    </row>
    <row r="10" spans="2:3" x14ac:dyDescent="0.3">
      <c r="B10" s="21" t="s">
        <v>54</v>
      </c>
      <c r="C10" s="20">
        <v>1970</v>
      </c>
    </row>
    <row r="11" spans="2:3" x14ac:dyDescent="0.3">
      <c r="B11" s="21" t="s">
        <v>21</v>
      </c>
      <c r="C11" s="20">
        <v>1026.6666666666667</v>
      </c>
    </row>
    <row r="12" spans="2:3" x14ac:dyDescent="0.3">
      <c r="B12" s="21" t="s">
        <v>52</v>
      </c>
      <c r="C12" s="20">
        <v>2135</v>
      </c>
    </row>
    <row r="13" spans="2:3" x14ac:dyDescent="0.3">
      <c r="B13" s="9" t="s">
        <v>53</v>
      </c>
      <c r="C13" s="20">
        <v>2073.125</v>
      </c>
    </row>
    <row r="14" spans="2:3" x14ac:dyDescent="0.3">
      <c r="B14" s="21" t="s">
        <v>54</v>
      </c>
      <c r="C14" s="20">
        <v>1915</v>
      </c>
    </row>
    <row r="15" spans="2:3" x14ac:dyDescent="0.3">
      <c r="B15" s="21" t="s">
        <v>52</v>
      </c>
      <c r="C15" s="20">
        <v>2168</v>
      </c>
    </row>
    <row r="16" spans="2:3" x14ac:dyDescent="0.3">
      <c r="B16" s="9" t="s">
        <v>42</v>
      </c>
      <c r="C16" s="20">
        <v>250</v>
      </c>
    </row>
    <row r="17" spans="2:3" x14ac:dyDescent="0.3">
      <c r="B17" s="21" t="s">
        <v>14</v>
      </c>
      <c r="C17" s="20">
        <v>100</v>
      </c>
    </row>
    <row r="18" spans="2:3" x14ac:dyDescent="0.3">
      <c r="B18" s="21" t="s">
        <v>21</v>
      </c>
      <c r="C18" s="20">
        <v>325</v>
      </c>
    </row>
    <row r="19" spans="2:3" x14ac:dyDescent="0.3">
      <c r="B19" s="9" t="s">
        <v>44</v>
      </c>
      <c r="C19" s="20">
        <v>2500</v>
      </c>
    </row>
    <row r="20" spans="2:3" x14ac:dyDescent="0.3">
      <c r="B20" s="21" t="s">
        <v>21</v>
      </c>
      <c r="C20" s="20">
        <v>2500</v>
      </c>
    </row>
    <row r="21" spans="2:3" x14ac:dyDescent="0.3">
      <c r="B21" s="9" t="s">
        <v>45</v>
      </c>
      <c r="C21" s="20">
        <v>1250</v>
      </c>
    </row>
    <row r="22" spans="2:3" x14ac:dyDescent="0.3">
      <c r="B22" s="21" t="s">
        <v>21</v>
      </c>
      <c r="C22" s="20">
        <v>1250</v>
      </c>
    </row>
    <row r="23" spans="2:3" x14ac:dyDescent="0.3">
      <c r="B23" s="9" t="s">
        <v>47</v>
      </c>
      <c r="C23" s="20">
        <v>1260</v>
      </c>
    </row>
    <row r="24" spans="2:3" x14ac:dyDescent="0.3">
      <c r="B24" s="21" t="s">
        <v>14</v>
      </c>
      <c r="C24" s="20">
        <v>1260</v>
      </c>
    </row>
    <row r="25" spans="2:3" x14ac:dyDescent="0.3">
      <c r="B25" s="21" t="s">
        <v>21</v>
      </c>
      <c r="C25" s="20">
        <v>1260</v>
      </c>
    </row>
    <row r="26" spans="2:3" x14ac:dyDescent="0.3">
      <c r="B26" s="9" t="s">
        <v>46</v>
      </c>
      <c r="C26" s="20">
        <v>1440</v>
      </c>
    </row>
    <row r="27" spans="2:3" x14ac:dyDescent="0.3">
      <c r="B27" s="21" t="s">
        <v>14</v>
      </c>
      <c r="C27" s="20">
        <v>1440</v>
      </c>
    </row>
    <row r="28" spans="2:3" x14ac:dyDescent="0.3">
      <c r="B28" s="21" t="s">
        <v>21</v>
      </c>
      <c r="C28" s="20">
        <v>1440</v>
      </c>
    </row>
    <row r="29" spans="2:3" x14ac:dyDescent="0.3">
      <c r="B29" s="9" t="s">
        <v>41</v>
      </c>
      <c r="C29" s="20">
        <v>440</v>
      </c>
    </row>
    <row r="30" spans="2:3" x14ac:dyDescent="0.3">
      <c r="B30" s="21" t="s">
        <v>14</v>
      </c>
      <c r="C30" s="20">
        <v>120</v>
      </c>
    </row>
    <row r="31" spans="2:3" x14ac:dyDescent="0.3">
      <c r="B31" s="21" t="s">
        <v>21</v>
      </c>
      <c r="C31" s="20">
        <v>600</v>
      </c>
    </row>
    <row r="32" spans="2:3" x14ac:dyDescent="0.3">
      <c r="B32" s="9" t="s">
        <v>40</v>
      </c>
      <c r="C32" s="20">
        <v>930</v>
      </c>
    </row>
    <row r="33" spans="2:3" x14ac:dyDescent="0.3">
      <c r="B33" s="21" t="s">
        <v>14</v>
      </c>
      <c r="C33" s="20">
        <v>480</v>
      </c>
    </row>
    <row r="34" spans="2:3" x14ac:dyDescent="0.3">
      <c r="B34" s="21" t="s">
        <v>21</v>
      </c>
      <c r="C34" s="20">
        <v>1080</v>
      </c>
    </row>
    <row r="35" spans="2:3" x14ac:dyDescent="0.3">
      <c r="B35" s="9" t="s">
        <v>55</v>
      </c>
      <c r="C35" s="20">
        <v>4016</v>
      </c>
    </row>
    <row r="36" spans="2:3" x14ac:dyDescent="0.3">
      <c r="B36" s="21" t="s">
        <v>54</v>
      </c>
      <c r="C36" s="20">
        <v>4052.5</v>
      </c>
    </row>
    <row r="37" spans="2:3" x14ac:dyDescent="0.3">
      <c r="B37" s="21" t="s">
        <v>52</v>
      </c>
      <c r="C37" s="20">
        <v>3991.6666666666665</v>
      </c>
    </row>
    <row r="38" spans="2:3" x14ac:dyDescent="0.3">
      <c r="B38" s="9" t="s">
        <v>56</v>
      </c>
      <c r="C38" s="20">
        <v>1645</v>
      </c>
    </row>
    <row r="39" spans="2:3" x14ac:dyDescent="0.3">
      <c r="B39" s="21" t="s">
        <v>54</v>
      </c>
      <c r="C39" s="20">
        <v>1645</v>
      </c>
    </row>
    <row r="40" spans="2:3" x14ac:dyDescent="0.3">
      <c r="B40" s="9" t="s">
        <v>48</v>
      </c>
      <c r="C40" s="20">
        <v>360</v>
      </c>
    </row>
    <row r="41" spans="2:3" x14ac:dyDescent="0.3">
      <c r="B41" s="21" t="s">
        <v>14</v>
      </c>
      <c r="C41" s="20">
        <v>360</v>
      </c>
    </row>
    <row r="42" spans="2:3" x14ac:dyDescent="0.3">
      <c r="B42" s="9" t="s">
        <v>30</v>
      </c>
      <c r="C42" s="20">
        <v>800</v>
      </c>
    </row>
    <row r="43" spans="2:3" x14ac:dyDescent="0.3">
      <c r="B43" s="21" t="s">
        <v>21</v>
      </c>
      <c r="C43" s="20">
        <v>800</v>
      </c>
    </row>
    <row r="44" spans="2:3" x14ac:dyDescent="0.3">
      <c r="B44" s="9" t="s">
        <v>24</v>
      </c>
      <c r="C44" s="20">
        <v>1430</v>
      </c>
    </row>
    <row r="45" spans="2:3" x14ac:dyDescent="0.3">
      <c r="B45" s="21" t="s">
        <v>14</v>
      </c>
      <c r="C45" s="20">
        <v>1466.6666666666667</v>
      </c>
    </row>
    <row r="46" spans="2:3" x14ac:dyDescent="0.3">
      <c r="B46" s="21" t="s">
        <v>21</v>
      </c>
      <c r="C46" s="20">
        <v>1375</v>
      </c>
    </row>
    <row r="47" spans="2:3" x14ac:dyDescent="0.3">
      <c r="B47" s="9" t="s">
        <v>17</v>
      </c>
      <c r="C47" s="20">
        <v>1747.5</v>
      </c>
    </row>
    <row r="48" spans="2:3" x14ac:dyDescent="0.3">
      <c r="B48" s="21" t="s">
        <v>14</v>
      </c>
      <c r="C48" s="20">
        <v>1812</v>
      </c>
    </row>
    <row r="49" spans="2:3" x14ac:dyDescent="0.3">
      <c r="B49" s="21" t="s">
        <v>21</v>
      </c>
      <c r="C49" s="20">
        <v>1640</v>
      </c>
    </row>
    <row r="50" spans="2:3" x14ac:dyDescent="0.3">
      <c r="B50" s="9" t="s">
        <v>15</v>
      </c>
      <c r="C50" s="20">
        <v>1720</v>
      </c>
    </row>
    <row r="51" spans="2:3" x14ac:dyDescent="0.3">
      <c r="B51" s="21" t="s">
        <v>14</v>
      </c>
      <c r="C51" s="20">
        <v>1760</v>
      </c>
    </row>
    <row r="52" spans="2:3" x14ac:dyDescent="0.3">
      <c r="B52" s="21" t="s">
        <v>21</v>
      </c>
      <c r="C52" s="20">
        <v>1680</v>
      </c>
    </row>
    <row r="53" spans="2:3" x14ac:dyDescent="0.3">
      <c r="B53" s="9" t="s">
        <v>37</v>
      </c>
      <c r="C53" s="20">
        <v>1812.1904761904761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4E5F-166B-4B62-8163-A591A8698B88}">
  <dimension ref="B3:D12"/>
  <sheetViews>
    <sheetView workbookViewId="0">
      <selection activeCell="F20" sqref="F20"/>
    </sheetView>
  </sheetViews>
  <sheetFormatPr defaultRowHeight="14.4" x14ac:dyDescent="0.3"/>
  <cols>
    <col min="2" max="2" width="15.77734375" bestFit="1" customWidth="1"/>
    <col min="3" max="3" width="12.5546875" bestFit="1" customWidth="1"/>
    <col min="4" max="4" width="15.6640625" bestFit="1" customWidth="1"/>
  </cols>
  <sheetData>
    <row r="3" spans="2:4" ht="15" x14ac:dyDescent="0.3">
      <c r="B3" s="17" t="s">
        <v>31</v>
      </c>
    </row>
    <row r="10" spans="2:4" x14ac:dyDescent="0.3">
      <c r="C10" s="15" t="s">
        <v>35</v>
      </c>
      <c r="D10" t="s">
        <v>67</v>
      </c>
    </row>
    <row r="11" spans="2:4" x14ac:dyDescent="0.3">
      <c r="C11" s="9">
        <v>48097</v>
      </c>
      <c r="D11" s="20">
        <v>4930</v>
      </c>
    </row>
    <row r="12" spans="2:4" x14ac:dyDescent="0.3">
      <c r="C12" s="9" t="s">
        <v>37</v>
      </c>
      <c r="D12" s="20">
        <v>4930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FB4C-B49B-4344-AEC2-996B8DF7F5AC}">
  <dimension ref="B3:C23"/>
  <sheetViews>
    <sheetView workbookViewId="0">
      <selection activeCell="B10" sqref="B10"/>
    </sheetView>
  </sheetViews>
  <sheetFormatPr defaultRowHeight="14.4" x14ac:dyDescent="0.3"/>
  <cols>
    <col min="2" max="2" width="23.88671875" bestFit="1" customWidth="1"/>
    <col min="3" max="3" width="14.88671875" bestFit="1" customWidth="1"/>
  </cols>
  <sheetData>
    <row r="3" spans="2:3" ht="15" x14ac:dyDescent="0.3">
      <c r="B3" s="17" t="s">
        <v>32</v>
      </c>
    </row>
    <row r="8" spans="2:3" x14ac:dyDescent="0.3">
      <c r="B8" s="15" t="s">
        <v>6</v>
      </c>
      <c r="C8" t="s">
        <v>21</v>
      </c>
    </row>
    <row r="10" spans="2:3" x14ac:dyDescent="0.3">
      <c r="B10" s="15" t="s">
        <v>35</v>
      </c>
      <c r="C10" t="s">
        <v>61</v>
      </c>
    </row>
    <row r="11" spans="2:3" x14ac:dyDescent="0.3">
      <c r="B11" s="9" t="s">
        <v>43</v>
      </c>
      <c r="C11" s="20">
        <v>110</v>
      </c>
    </row>
    <row r="12" spans="2:3" x14ac:dyDescent="0.3">
      <c r="B12" s="9" t="s">
        <v>42</v>
      </c>
      <c r="C12" s="20">
        <v>130</v>
      </c>
    </row>
    <row r="13" spans="2:3" x14ac:dyDescent="0.3">
      <c r="B13" s="9" t="s">
        <v>44</v>
      </c>
      <c r="C13" s="20">
        <v>100</v>
      </c>
    </row>
    <row r="14" spans="2:3" x14ac:dyDescent="0.3">
      <c r="B14" s="9" t="s">
        <v>45</v>
      </c>
      <c r="C14" s="20">
        <v>50</v>
      </c>
    </row>
    <row r="15" spans="2:3" x14ac:dyDescent="0.3">
      <c r="B15" s="9" t="s">
        <v>47</v>
      </c>
      <c r="C15" s="20">
        <v>70</v>
      </c>
    </row>
    <row r="16" spans="2:3" x14ac:dyDescent="0.3">
      <c r="B16" s="9" t="s">
        <v>46</v>
      </c>
      <c r="C16" s="20">
        <v>80</v>
      </c>
    </row>
    <row r="17" spans="2:3" x14ac:dyDescent="0.3">
      <c r="B17" s="9" t="s">
        <v>41</v>
      </c>
      <c r="C17" s="20">
        <v>100</v>
      </c>
    </row>
    <row r="18" spans="2:3" x14ac:dyDescent="0.3">
      <c r="B18" s="9" t="s">
        <v>40</v>
      </c>
      <c r="C18" s="20">
        <v>270</v>
      </c>
    </row>
    <row r="19" spans="2:3" x14ac:dyDescent="0.3">
      <c r="B19" s="9" t="s">
        <v>30</v>
      </c>
      <c r="C19" s="20">
        <v>640</v>
      </c>
    </row>
    <row r="20" spans="2:3" x14ac:dyDescent="0.3">
      <c r="B20" s="9" t="s">
        <v>24</v>
      </c>
      <c r="C20" s="20">
        <v>550</v>
      </c>
    </row>
    <row r="21" spans="2:3" x14ac:dyDescent="0.3">
      <c r="B21" s="9" t="s">
        <v>17</v>
      </c>
      <c r="C21" s="20">
        <v>820</v>
      </c>
    </row>
    <row r="22" spans="2:3" x14ac:dyDescent="0.3">
      <c r="B22" s="9" t="s">
        <v>15</v>
      </c>
      <c r="C22" s="20">
        <v>840</v>
      </c>
    </row>
    <row r="23" spans="2:3" x14ac:dyDescent="0.3">
      <c r="B23" s="9" t="s">
        <v>37</v>
      </c>
      <c r="C23" s="20">
        <v>3760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2A23-4F0F-4201-AAAC-4B8D2EC277E0}">
  <dimension ref="B3:C26"/>
  <sheetViews>
    <sheetView workbookViewId="0">
      <selection activeCell="B7" sqref="B7"/>
    </sheetView>
  </sheetViews>
  <sheetFormatPr defaultRowHeight="14.4" x14ac:dyDescent="0.3"/>
  <cols>
    <col min="2" max="2" width="14.109375" bestFit="1" customWidth="1"/>
    <col min="3" max="3" width="19" bestFit="1" customWidth="1"/>
  </cols>
  <sheetData>
    <row r="3" spans="2:3" ht="15" x14ac:dyDescent="0.3">
      <c r="B3" s="17" t="s">
        <v>33</v>
      </c>
    </row>
    <row r="7" spans="2:3" x14ac:dyDescent="0.3">
      <c r="B7" s="15" t="s">
        <v>1</v>
      </c>
      <c r="C7" t="s">
        <v>12</v>
      </c>
    </row>
    <row r="9" spans="2:3" x14ac:dyDescent="0.3">
      <c r="B9" s="15" t="s">
        <v>35</v>
      </c>
      <c r="C9" t="s">
        <v>66</v>
      </c>
    </row>
    <row r="10" spans="2:3" x14ac:dyDescent="0.3">
      <c r="B10" s="9">
        <v>65627</v>
      </c>
      <c r="C10" s="20">
        <v>1800</v>
      </c>
    </row>
    <row r="11" spans="2:3" x14ac:dyDescent="0.3">
      <c r="B11" s="9">
        <v>65629</v>
      </c>
      <c r="C11" s="20">
        <v>1746.6666666666667</v>
      </c>
    </row>
    <row r="12" spans="2:3" x14ac:dyDescent="0.3">
      <c r="B12" s="9">
        <v>65631</v>
      </c>
      <c r="C12" s="20">
        <v>1195</v>
      </c>
    </row>
    <row r="13" spans="2:3" x14ac:dyDescent="0.3">
      <c r="B13" s="9">
        <v>65662</v>
      </c>
      <c r="C13" s="20">
        <v>1380</v>
      </c>
    </row>
    <row r="14" spans="2:3" x14ac:dyDescent="0.3">
      <c r="B14" s="9">
        <v>65666</v>
      </c>
      <c r="C14" s="20">
        <v>1544</v>
      </c>
    </row>
    <row r="15" spans="2:3" x14ac:dyDescent="0.3">
      <c r="B15" s="9">
        <v>66015</v>
      </c>
      <c r="C15" s="20">
        <v>1680</v>
      </c>
    </row>
    <row r="16" spans="2:3" x14ac:dyDescent="0.3">
      <c r="B16" s="9">
        <v>66016</v>
      </c>
      <c r="C16" s="20">
        <v>1400</v>
      </c>
    </row>
    <row r="17" spans="2:3" x14ac:dyDescent="0.3">
      <c r="B17" s="9">
        <v>66017</v>
      </c>
      <c r="C17" s="20">
        <v>1680</v>
      </c>
    </row>
    <row r="18" spans="2:3" x14ac:dyDescent="0.3">
      <c r="B18" s="9">
        <v>66030</v>
      </c>
      <c r="C18" s="20">
        <v>1620</v>
      </c>
    </row>
    <row r="19" spans="2:3" x14ac:dyDescent="0.3">
      <c r="B19" s="9">
        <v>66031</v>
      </c>
      <c r="C19" s="20">
        <v>1493.3333333333333</v>
      </c>
    </row>
    <row r="20" spans="2:3" x14ac:dyDescent="0.3">
      <c r="B20" s="9">
        <v>66032</v>
      </c>
      <c r="C20" s="20">
        <v>1860</v>
      </c>
    </row>
    <row r="21" spans="2:3" x14ac:dyDescent="0.3">
      <c r="B21" s="9">
        <v>68097</v>
      </c>
      <c r="C21" s="20">
        <v>1490</v>
      </c>
    </row>
    <row r="22" spans="2:3" x14ac:dyDescent="0.3">
      <c r="B22" s="9">
        <v>68099</v>
      </c>
      <c r="C22" s="20">
        <v>1230</v>
      </c>
    </row>
    <row r="23" spans="2:3" x14ac:dyDescent="0.3">
      <c r="B23" s="9">
        <v>68101</v>
      </c>
      <c r="C23" s="20">
        <v>1840</v>
      </c>
    </row>
    <row r="24" spans="2:3" x14ac:dyDescent="0.3">
      <c r="B24" s="9">
        <v>68112</v>
      </c>
      <c r="C24" s="20">
        <v>1680</v>
      </c>
    </row>
    <row r="25" spans="2:3" x14ac:dyDescent="0.3">
      <c r="B25" s="9">
        <v>68116</v>
      </c>
      <c r="C25" s="20">
        <v>1664</v>
      </c>
    </row>
    <row r="26" spans="2:3" x14ac:dyDescent="0.3">
      <c r="B26" s="9" t="s">
        <v>37</v>
      </c>
      <c r="C26" s="20">
        <v>1573.8095238095239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F363-B010-47B2-A662-3639F4588358}">
  <dimension ref="B3:C22"/>
  <sheetViews>
    <sheetView tabSelected="1" workbookViewId="0">
      <selection activeCell="F14" sqref="F14"/>
    </sheetView>
  </sheetViews>
  <sheetFormatPr defaultRowHeight="14.4" x14ac:dyDescent="0.3"/>
  <cols>
    <col min="2" max="2" width="23.88671875" bestFit="1" customWidth="1"/>
    <col min="3" max="3" width="17.33203125" bestFit="1" customWidth="1"/>
  </cols>
  <sheetData>
    <row r="3" spans="2:3" ht="15" x14ac:dyDescent="0.3">
      <c r="B3" s="17" t="s">
        <v>34</v>
      </c>
    </row>
    <row r="6" spans="2:3" x14ac:dyDescent="0.3">
      <c r="B6" s="15" t="s">
        <v>2</v>
      </c>
      <c r="C6" t="s">
        <v>13</v>
      </c>
    </row>
    <row r="8" spans="2:3" x14ac:dyDescent="0.3">
      <c r="B8" s="15" t="s">
        <v>35</v>
      </c>
      <c r="C8" t="s">
        <v>68</v>
      </c>
    </row>
    <row r="9" spans="2:3" x14ac:dyDescent="0.3">
      <c r="B9" s="9" t="s">
        <v>43</v>
      </c>
      <c r="C9" s="20">
        <v>3</v>
      </c>
    </row>
    <row r="10" spans="2:3" x14ac:dyDescent="0.3">
      <c r="B10" s="9" t="s">
        <v>42</v>
      </c>
      <c r="C10" s="20">
        <v>3</v>
      </c>
    </row>
    <row r="11" spans="2:3" x14ac:dyDescent="0.3">
      <c r="B11" s="9" t="s">
        <v>44</v>
      </c>
      <c r="C11" s="20">
        <v>1</v>
      </c>
    </row>
    <row r="12" spans="2:3" x14ac:dyDescent="0.3">
      <c r="B12" s="9" t="s">
        <v>45</v>
      </c>
      <c r="C12" s="20">
        <v>1</v>
      </c>
    </row>
    <row r="13" spans="2:3" x14ac:dyDescent="0.3">
      <c r="B13" s="9" t="s">
        <v>47</v>
      </c>
      <c r="C13" s="20">
        <v>3</v>
      </c>
    </row>
    <row r="14" spans="2:3" x14ac:dyDescent="0.3">
      <c r="B14" s="9" t="s">
        <v>46</v>
      </c>
      <c r="C14" s="20">
        <v>2</v>
      </c>
    </row>
    <row r="15" spans="2:3" x14ac:dyDescent="0.3">
      <c r="B15" s="9" t="s">
        <v>41</v>
      </c>
      <c r="C15" s="20">
        <v>3</v>
      </c>
    </row>
    <row r="16" spans="2:3" x14ac:dyDescent="0.3">
      <c r="B16" s="9" t="s">
        <v>40</v>
      </c>
      <c r="C16" s="20">
        <v>4</v>
      </c>
    </row>
    <row r="17" spans="2:3" x14ac:dyDescent="0.3">
      <c r="B17" s="9" t="s">
        <v>48</v>
      </c>
      <c r="C17" s="20">
        <v>1</v>
      </c>
    </row>
    <row r="18" spans="2:3" x14ac:dyDescent="0.3">
      <c r="B18" s="9" t="s">
        <v>30</v>
      </c>
      <c r="C18" s="20">
        <v>4</v>
      </c>
    </row>
    <row r="19" spans="2:3" x14ac:dyDescent="0.3">
      <c r="B19" s="9" t="s">
        <v>24</v>
      </c>
      <c r="C19" s="20">
        <v>10</v>
      </c>
    </row>
    <row r="20" spans="2:3" x14ac:dyDescent="0.3">
      <c r="B20" s="9" t="s">
        <v>17</v>
      </c>
      <c r="C20" s="20">
        <v>16</v>
      </c>
    </row>
    <row r="21" spans="2:3" x14ac:dyDescent="0.3">
      <c r="B21" s="9" t="s">
        <v>15</v>
      </c>
      <c r="C21" s="20">
        <v>12</v>
      </c>
    </row>
    <row r="22" spans="2:3" x14ac:dyDescent="0.3">
      <c r="B22" s="9" t="s">
        <v>37</v>
      </c>
      <c r="C22" s="20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</vt:lpstr>
      <vt:lpstr>Case Study 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Q12</vt:lpstr>
      <vt:lpstr>Q13</vt:lpstr>
      <vt:lpstr>Q14</vt:lpstr>
      <vt:lpstr>Q15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ANUSHREE KASHYAP</cp:lastModifiedBy>
  <dcterms:created xsi:type="dcterms:W3CDTF">2024-01-16T06:49:27Z</dcterms:created>
  <dcterms:modified xsi:type="dcterms:W3CDTF">2025-09-28T17:46:36Z</dcterms:modified>
</cp:coreProperties>
</file>